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240" yWindow="240" windowWidth="25360" windowHeight="14320" tabRatio="500" firstSheet="3" activeTab="7"/>
  </bookViews>
  <sheets>
    <sheet name="avg.growth.rate" sheetId="5" r:id="rId1"/>
    <sheet name="1v7.day.growth.rate1" sheetId="9" r:id="rId2"/>
    <sheet name="1v7.day.growth.rate2" sheetId="11" r:id="rId3"/>
    <sheet name="1v7.day.growth.rate3" sheetId="12" r:id="rId4"/>
    <sheet name="Sheet13" sheetId="13" r:id="rId5"/>
    <sheet name="Sheet14" sheetId="14" r:id="rId6"/>
    <sheet name="ITA.v.NL1" sheetId="15" r:id="rId7"/>
    <sheet name="ITA.v.NL2" sheetId="16" r:id="rId8"/>
  </sheets>
  <definedNames>
    <definedName name="_xlnm._FilterDatabase" localSheetId="1" hidden="1">'1v7.day.growth.rate1'!$A$1:$BR$127</definedName>
    <definedName name="_xlnm._FilterDatabase" localSheetId="2" hidden="1">'1v7.day.growth.rate2'!$A$1:$BC$97</definedName>
    <definedName name="_xlnm._FilterDatabase" localSheetId="4" hidden="1">Sheet13!$A$1:$Z$67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" i="15" l="1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X30" i="15"/>
  <c r="AA30" i="15"/>
  <c r="R30" i="15"/>
  <c r="U30" i="15"/>
  <c r="G28" i="15"/>
  <c r="H28" i="15"/>
  <c r="I28" i="15"/>
  <c r="J28" i="15"/>
  <c r="G29" i="15"/>
  <c r="H29" i="15"/>
  <c r="I29" i="15"/>
  <c r="J29" i="15"/>
  <c r="G30" i="15"/>
  <c r="H30" i="15"/>
  <c r="I30" i="15"/>
  <c r="J30" i="15"/>
  <c r="AA29" i="15"/>
  <c r="P29" i="15"/>
  <c r="X29" i="15"/>
  <c r="R29" i="15"/>
  <c r="U29" i="15"/>
  <c r="AQ34" i="15"/>
  <c r="AQ35" i="15"/>
  <c r="AQ36" i="15"/>
  <c r="AQ37" i="15"/>
  <c r="AQ38" i="15"/>
  <c r="AJ9" i="15"/>
  <c r="AP39" i="15"/>
  <c r="AQ39" i="15"/>
  <c r="AQ40" i="15"/>
  <c r="AQ41" i="15"/>
  <c r="AQ42" i="15"/>
  <c r="AQ43" i="15"/>
  <c r="AP43" i="15"/>
  <c r="AR43" i="15"/>
  <c r="AK34" i="15"/>
  <c r="AK35" i="15"/>
  <c r="AK36" i="15"/>
  <c r="AK37" i="15"/>
  <c r="AK38" i="15"/>
  <c r="AK39" i="15"/>
  <c r="AK40" i="15"/>
  <c r="AK41" i="15"/>
  <c r="AJ42" i="15"/>
  <c r="AK42" i="15"/>
  <c r="AK43" i="15"/>
  <c r="AJ43" i="15"/>
  <c r="AL43" i="15"/>
  <c r="AL49" i="15"/>
  <c r="AJ14" i="15"/>
  <c r="AL48" i="15"/>
  <c r="AL47" i="15"/>
  <c r="AR39" i="15"/>
  <c r="AR38" i="15"/>
  <c r="AR37" i="15"/>
  <c r="AR36" i="15"/>
  <c r="AR35" i="15"/>
  <c r="AR34" i="15"/>
  <c r="AL35" i="15"/>
  <c r="AL36" i="15"/>
  <c r="AL37" i="15"/>
  <c r="AL38" i="15"/>
  <c r="AL39" i="15"/>
  <c r="AL40" i="15"/>
  <c r="AL41" i="15"/>
  <c r="AL42" i="15"/>
  <c r="AL34" i="15"/>
  <c r="AJ11" i="15"/>
  <c r="AJ15" i="15"/>
  <c r="AJ17" i="15"/>
  <c r="AJ19" i="15"/>
  <c r="AJ21" i="15"/>
  <c r="AJ23" i="15"/>
  <c r="R27" i="15"/>
  <c r="AA27" i="15"/>
  <c r="AB27" i="15"/>
  <c r="R28" i="15"/>
  <c r="Q28" i="15"/>
  <c r="AA28" i="15"/>
  <c r="AB28" i="15"/>
  <c r="R26" i="15"/>
  <c r="AA26" i="15"/>
  <c r="AB26" i="15"/>
  <c r="U28" i="15"/>
  <c r="AG15" i="15"/>
  <c r="AG16" i="15"/>
  <c r="AG17" i="15"/>
  <c r="AG18" i="15"/>
  <c r="AG19" i="15"/>
  <c r="AG20" i="15"/>
  <c r="AG21" i="15"/>
  <c r="AG22" i="15"/>
  <c r="X19" i="15"/>
  <c r="X20" i="15"/>
  <c r="X21" i="15"/>
  <c r="X22" i="15"/>
  <c r="X23" i="15"/>
  <c r="X24" i="15"/>
  <c r="X25" i="15"/>
  <c r="X26" i="15"/>
  <c r="X27" i="15"/>
  <c r="X28" i="15"/>
  <c r="X18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4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7" i="15"/>
  <c r="I8" i="15"/>
  <c r="U25" i="15"/>
  <c r="U26" i="15"/>
  <c r="U27" i="15"/>
  <c r="U24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6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K3" i="15"/>
  <c r="C17" i="14"/>
  <c r="C16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J8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5" i="14"/>
  <c r="AB7" i="14"/>
  <c r="AC5" i="14"/>
  <c r="AC7" i="14"/>
  <c r="AD5" i="14"/>
  <c r="AD7" i="14"/>
  <c r="AE5" i="14"/>
  <c r="AE7" i="14"/>
  <c r="AF5" i="14"/>
  <c r="AF7" i="14"/>
  <c r="AG5" i="14"/>
  <c r="AG7" i="14"/>
  <c r="AH5" i="14"/>
  <c r="AH7" i="14"/>
  <c r="C7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C10" i="14"/>
  <c r="C61" i="14"/>
  <c r="C62" i="14"/>
  <c r="C53" i="14"/>
  <c r="C54" i="14"/>
  <c r="AB9" i="14"/>
  <c r="AC9" i="14"/>
  <c r="AD9" i="14"/>
  <c r="AE9" i="14"/>
  <c r="AF9" i="14"/>
  <c r="AG9" i="14"/>
  <c r="AH9" i="14"/>
  <c r="F4" i="14"/>
  <c r="G4" i="14"/>
  <c r="H4" i="14"/>
  <c r="I4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C9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J4" i="14"/>
  <c r="Z8" i="13"/>
  <c r="BK126" i="9"/>
  <c r="BL126" i="9"/>
  <c r="BM126" i="9"/>
  <c r="BN126" i="9"/>
  <c r="BO126" i="9"/>
  <c r="BP126" i="9"/>
  <c r="BQ126" i="9"/>
  <c r="BR126" i="9"/>
  <c r="BK123" i="9"/>
  <c r="BL123" i="9"/>
  <c r="BM123" i="9"/>
  <c r="BN123" i="9"/>
  <c r="BO123" i="9"/>
  <c r="BP123" i="9"/>
  <c r="BQ123" i="9"/>
  <c r="BR123" i="9"/>
  <c r="BK117" i="9"/>
  <c r="BL117" i="9"/>
  <c r="BM117" i="9"/>
  <c r="BN117" i="9"/>
  <c r="BO117" i="9"/>
  <c r="BP117" i="9"/>
  <c r="BQ117" i="9"/>
  <c r="BR117" i="9"/>
  <c r="BK116" i="9"/>
  <c r="BL116" i="9"/>
  <c r="BM116" i="9"/>
  <c r="BN116" i="9"/>
  <c r="BO116" i="9"/>
  <c r="BP116" i="9"/>
  <c r="BQ116" i="9"/>
  <c r="BR116" i="9"/>
  <c r="BK113" i="9"/>
  <c r="BL113" i="9"/>
  <c r="BM113" i="9"/>
  <c r="BN113" i="9"/>
  <c r="BO113" i="9"/>
  <c r="BP113" i="9"/>
  <c r="BQ113" i="9"/>
  <c r="BR113" i="9"/>
  <c r="BK109" i="9"/>
  <c r="BL109" i="9"/>
  <c r="BM109" i="9"/>
  <c r="BN109" i="9"/>
  <c r="BO109" i="9"/>
  <c r="BP109" i="9"/>
  <c r="BQ109" i="9"/>
  <c r="BR109" i="9"/>
  <c r="BK92" i="9"/>
  <c r="BL92" i="9"/>
  <c r="BM92" i="9"/>
  <c r="BN92" i="9"/>
  <c r="BO92" i="9"/>
  <c r="BP92" i="9"/>
  <c r="BQ92" i="9"/>
  <c r="BR92" i="9"/>
  <c r="BK88" i="9"/>
  <c r="BL88" i="9"/>
  <c r="BM88" i="9"/>
  <c r="BN88" i="9"/>
  <c r="BO88" i="9"/>
  <c r="BP88" i="9"/>
  <c r="BQ88" i="9"/>
  <c r="BR88" i="9"/>
  <c r="BK78" i="9"/>
  <c r="BL78" i="9"/>
  <c r="BM78" i="9"/>
  <c r="BN78" i="9"/>
  <c r="BO78" i="9"/>
  <c r="BP78" i="9"/>
  <c r="BQ78" i="9"/>
  <c r="BR78" i="9"/>
  <c r="BK72" i="9"/>
  <c r="BL72" i="9"/>
  <c r="BM72" i="9"/>
  <c r="BN72" i="9"/>
  <c r="BO72" i="9"/>
  <c r="BP72" i="9"/>
  <c r="BQ72" i="9"/>
  <c r="BR72" i="9"/>
  <c r="BK71" i="9"/>
  <c r="BL71" i="9"/>
  <c r="BM71" i="9"/>
  <c r="BN71" i="9"/>
  <c r="BO71" i="9"/>
  <c r="BP71" i="9"/>
  <c r="BQ71" i="9"/>
  <c r="BR71" i="9"/>
  <c r="BK67" i="9"/>
  <c r="BL67" i="9"/>
  <c r="BM67" i="9"/>
  <c r="BN67" i="9"/>
  <c r="BO67" i="9"/>
  <c r="BP67" i="9"/>
  <c r="BQ67" i="9"/>
  <c r="BR67" i="9"/>
  <c r="BK65" i="9"/>
  <c r="BL65" i="9"/>
  <c r="BM65" i="9"/>
  <c r="BN65" i="9"/>
  <c r="BO65" i="9"/>
  <c r="BP65" i="9"/>
  <c r="BQ65" i="9"/>
  <c r="BR65" i="9"/>
  <c r="BK61" i="9"/>
  <c r="BL61" i="9"/>
  <c r="BM61" i="9"/>
  <c r="BN61" i="9"/>
  <c r="BO61" i="9"/>
  <c r="BP61" i="9"/>
  <c r="BQ61" i="9"/>
  <c r="BR61" i="9"/>
  <c r="BK50" i="9"/>
  <c r="BL50" i="9"/>
  <c r="BM50" i="9"/>
  <c r="BN50" i="9"/>
  <c r="BO50" i="9"/>
  <c r="BP50" i="9"/>
  <c r="BQ50" i="9"/>
  <c r="BR50" i="9"/>
  <c r="BK47" i="9"/>
  <c r="BL47" i="9"/>
  <c r="BM47" i="9"/>
  <c r="BN47" i="9"/>
  <c r="BO47" i="9"/>
  <c r="BP47" i="9"/>
  <c r="BQ47" i="9"/>
  <c r="BR47" i="9"/>
  <c r="BK40" i="9"/>
  <c r="BL40" i="9"/>
  <c r="BM40" i="9"/>
  <c r="BN40" i="9"/>
  <c r="BO40" i="9"/>
  <c r="BP40" i="9"/>
  <c r="BQ40" i="9"/>
  <c r="BR40" i="9"/>
  <c r="BK30" i="9"/>
  <c r="BL30" i="9"/>
  <c r="BM30" i="9"/>
  <c r="BN30" i="9"/>
  <c r="BO30" i="9"/>
  <c r="BP30" i="9"/>
  <c r="BQ30" i="9"/>
  <c r="BR30" i="9"/>
  <c r="BK29" i="9"/>
  <c r="BL29" i="9"/>
  <c r="BM29" i="9"/>
  <c r="BN29" i="9"/>
  <c r="BO29" i="9"/>
  <c r="BP29" i="9"/>
  <c r="BQ29" i="9"/>
  <c r="BR29" i="9"/>
  <c r="BK16" i="9"/>
  <c r="BL16" i="9"/>
  <c r="BM16" i="9"/>
  <c r="BN16" i="9"/>
  <c r="BO16" i="9"/>
  <c r="BP16" i="9"/>
  <c r="BQ16" i="9"/>
  <c r="BR16" i="9"/>
  <c r="BK13" i="9"/>
  <c r="BL13" i="9"/>
  <c r="BM13" i="9"/>
  <c r="BN13" i="9"/>
  <c r="BO13" i="9"/>
  <c r="BP13" i="9"/>
  <c r="BQ13" i="9"/>
  <c r="BR13" i="9"/>
  <c r="BK10" i="9"/>
  <c r="BL10" i="9"/>
  <c r="BM10" i="9"/>
  <c r="BN10" i="9"/>
  <c r="BO10" i="9"/>
  <c r="BP10" i="9"/>
  <c r="BQ10" i="9"/>
  <c r="BR10" i="9"/>
  <c r="BK125" i="9"/>
  <c r="BL125" i="9"/>
  <c r="BM125" i="9"/>
  <c r="BN125" i="9"/>
  <c r="BO125" i="9"/>
  <c r="BP125" i="9"/>
  <c r="BQ125" i="9"/>
  <c r="BR125" i="9"/>
  <c r="BK119" i="9"/>
  <c r="BL119" i="9"/>
  <c r="BM119" i="9"/>
  <c r="BN119" i="9"/>
  <c r="BO119" i="9"/>
  <c r="BP119" i="9"/>
  <c r="BQ119" i="9"/>
  <c r="BR119" i="9"/>
  <c r="BK118" i="9"/>
  <c r="BL118" i="9"/>
  <c r="BM118" i="9"/>
  <c r="BN118" i="9"/>
  <c r="BO118" i="9"/>
  <c r="BP118" i="9"/>
  <c r="BQ118" i="9"/>
  <c r="BR118" i="9"/>
  <c r="BK105" i="9"/>
  <c r="BL105" i="9"/>
  <c r="BM105" i="9"/>
  <c r="BN105" i="9"/>
  <c r="BO105" i="9"/>
  <c r="BP105" i="9"/>
  <c r="BQ105" i="9"/>
  <c r="BR105" i="9"/>
  <c r="BK62" i="9"/>
  <c r="BL62" i="9"/>
  <c r="BM62" i="9"/>
  <c r="BN62" i="9"/>
  <c r="BO62" i="9"/>
  <c r="BP62" i="9"/>
  <c r="BQ62" i="9"/>
  <c r="BR62" i="9"/>
  <c r="BK59" i="9"/>
  <c r="BL59" i="9"/>
  <c r="BM59" i="9"/>
  <c r="BN59" i="9"/>
  <c r="BO59" i="9"/>
  <c r="BP59" i="9"/>
  <c r="BQ59" i="9"/>
  <c r="BR59" i="9"/>
  <c r="BK58" i="9"/>
  <c r="BL58" i="9"/>
  <c r="BM58" i="9"/>
  <c r="BN58" i="9"/>
  <c r="BO58" i="9"/>
  <c r="BP58" i="9"/>
  <c r="BQ58" i="9"/>
  <c r="BR58" i="9"/>
  <c r="BK51" i="9"/>
  <c r="BL51" i="9"/>
  <c r="BM51" i="9"/>
  <c r="BN51" i="9"/>
  <c r="BO51" i="9"/>
  <c r="BP51" i="9"/>
  <c r="BQ51" i="9"/>
  <c r="BR51" i="9"/>
  <c r="BK26" i="9"/>
  <c r="BL26" i="9"/>
  <c r="BM26" i="9"/>
  <c r="BN26" i="9"/>
  <c r="BO26" i="9"/>
  <c r="BP26" i="9"/>
  <c r="BQ26" i="9"/>
  <c r="BR26" i="9"/>
  <c r="BK11" i="9"/>
  <c r="BL11" i="9"/>
  <c r="BM11" i="9"/>
  <c r="BN11" i="9"/>
  <c r="BO11" i="9"/>
  <c r="BP11" i="9"/>
  <c r="BQ11" i="9"/>
  <c r="BR11" i="9"/>
  <c r="BC71" i="9"/>
  <c r="BD71" i="9"/>
  <c r="BE71" i="9"/>
  <c r="BF71" i="9"/>
  <c r="BG71" i="9"/>
  <c r="BH71" i="9"/>
  <c r="BI71" i="9"/>
  <c r="BJ71" i="9"/>
  <c r="BC67" i="9"/>
  <c r="BD67" i="9"/>
  <c r="BE67" i="9"/>
  <c r="BF67" i="9"/>
  <c r="BG67" i="9"/>
  <c r="BH67" i="9"/>
  <c r="BI67" i="9"/>
  <c r="BJ67" i="9"/>
  <c r="BC65" i="9"/>
  <c r="BD65" i="9"/>
  <c r="BE65" i="9"/>
  <c r="BF65" i="9"/>
  <c r="BG65" i="9"/>
  <c r="BH65" i="9"/>
  <c r="BI65" i="9"/>
  <c r="BJ65" i="9"/>
  <c r="BC62" i="9"/>
  <c r="BD62" i="9"/>
  <c r="BE62" i="9"/>
  <c r="BF62" i="9"/>
  <c r="BG62" i="9"/>
  <c r="BH62" i="9"/>
  <c r="BI62" i="9"/>
  <c r="BJ62" i="9"/>
  <c r="BC61" i="9"/>
  <c r="BD61" i="9"/>
  <c r="BE61" i="9"/>
  <c r="BF61" i="9"/>
  <c r="BG61" i="9"/>
  <c r="BH61" i="9"/>
  <c r="BI61" i="9"/>
  <c r="BJ61" i="9"/>
  <c r="BC30" i="9"/>
  <c r="BD30" i="9"/>
  <c r="BE30" i="9"/>
  <c r="BF30" i="9"/>
  <c r="BG30" i="9"/>
  <c r="BH30" i="9"/>
  <c r="BI30" i="9"/>
  <c r="BJ30" i="9"/>
  <c r="BC29" i="9"/>
  <c r="BD29" i="9"/>
  <c r="BE29" i="9"/>
  <c r="BF29" i="9"/>
  <c r="BG29" i="9"/>
  <c r="BH29" i="9"/>
  <c r="BI29" i="9"/>
  <c r="BJ29" i="9"/>
  <c r="BC2" i="9"/>
  <c r="BD2" i="9"/>
  <c r="BE2" i="9"/>
  <c r="BF2" i="9"/>
  <c r="BG2" i="9"/>
  <c r="BH2" i="9"/>
  <c r="BI2" i="9"/>
  <c r="BJ2" i="9"/>
  <c r="BC4" i="9"/>
  <c r="BD4" i="9"/>
  <c r="BE4" i="9"/>
  <c r="BF4" i="9"/>
  <c r="BG4" i="9"/>
  <c r="BH4" i="9"/>
  <c r="BI4" i="9"/>
  <c r="BJ4" i="9"/>
  <c r="BC5" i="9"/>
  <c r="BD5" i="9"/>
  <c r="BE5" i="9"/>
  <c r="BF5" i="9"/>
  <c r="BG5" i="9"/>
  <c r="BH5" i="9"/>
  <c r="BI5" i="9"/>
  <c r="BJ5" i="9"/>
  <c r="BC7" i="9"/>
  <c r="BD7" i="9"/>
  <c r="BE7" i="9"/>
  <c r="BF7" i="9"/>
  <c r="BG7" i="9"/>
  <c r="BH7" i="9"/>
  <c r="BI7" i="9"/>
  <c r="BJ7" i="9"/>
  <c r="BC8" i="9"/>
  <c r="BD8" i="9"/>
  <c r="BE8" i="9"/>
  <c r="BF8" i="9"/>
  <c r="BG8" i="9"/>
  <c r="BH8" i="9"/>
  <c r="BI8" i="9"/>
  <c r="BJ8" i="9"/>
  <c r="BC10" i="9"/>
  <c r="BD10" i="9"/>
  <c r="BE10" i="9"/>
  <c r="BF10" i="9"/>
  <c r="BG10" i="9"/>
  <c r="BH10" i="9"/>
  <c r="BI10" i="9"/>
  <c r="BJ10" i="9"/>
  <c r="BC11" i="9"/>
  <c r="BD11" i="9"/>
  <c r="BE11" i="9"/>
  <c r="BF11" i="9"/>
  <c r="BG11" i="9"/>
  <c r="BH11" i="9"/>
  <c r="BI11" i="9"/>
  <c r="BJ11" i="9"/>
  <c r="BC12" i="9"/>
  <c r="BD12" i="9"/>
  <c r="BE12" i="9"/>
  <c r="BF12" i="9"/>
  <c r="BG12" i="9"/>
  <c r="BH12" i="9"/>
  <c r="BI12" i="9"/>
  <c r="BJ12" i="9"/>
  <c r="BC13" i="9"/>
  <c r="BD13" i="9"/>
  <c r="BE13" i="9"/>
  <c r="BF13" i="9"/>
  <c r="BG13" i="9"/>
  <c r="BH13" i="9"/>
  <c r="BI13" i="9"/>
  <c r="BJ13" i="9"/>
  <c r="BC15" i="9"/>
  <c r="BD15" i="9"/>
  <c r="BE15" i="9"/>
  <c r="BF15" i="9"/>
  <c r="BG15" i="9"/>
  <c r="BH15" i="9"/>
  <c r="BI15" i="9"/>
  <c r="BJ15" i="9"/>
  <c r="BC16" i="9"/>
  <c r="BD16" i="9"/>
  <c r="BE16" i="9"/>
  <c r="BF16" i="9"/>
  <c r="BG16" i="9"/>
  <c r="BH16" i="9"/>
  <c r="BI16" i="9"/>
  <c r="BJ16" i="9"/>
  <c r="BC17" i="9"/>
  <c r="BD17" i="9"/>
  <c r="BE17" i="9"/>
  <c r="BF17" i="9"/>
  <c r="BG17" i="9"/>
  <c r="BH17" i="9"/>
  <c r="BI17" i="9"/>
  <c r="BJ17" i="9"/>
  <c r="BC19" i="9"/>
  <c r="BD19" i="9"/>
  <c r="BE19" i="9"/>
  <c r="BF19" i="9"/>
  <c r="BG19" i="9"/>
  <c r="BH19" i="9"/>
  <c r="BI19" i="9"/>
  <c r="BJ19" i="9"/>
  <c r="BC20" i="9"/>
  <c r="BD20" i="9"/>
  <c r="BE20" i="9"/>
  <c r="BF20" i="9"/>
  <c r="BG20" i="9"/>
  <c r="BH20" i="9"/>
  <c r="BI20" i="9"/>
  <c r="BJ20" i="9"/>
  <c r="BC24" i="9"/>
  <c r="BD24" i="9"/>
  <c r="BE24" i="9"/>
  <c r="BF24" i="9"/>
  <c r="BG24" i="9"/>
  <c r="BH24" i="9"/>
  <c r="BI24" i="9"/>
  <c r="BJ24" i="9"/>
  <c r="BC25" i="9"/>
  <c r="BD25" i="9"/>
  <c r="BE25" i="9"/>
  <c r="BF25" i="9"/>
  <c r="BG25" i="9"/>
  <c r="BH25" i="9"/>
  <c r="BI25" i="9"/>
  <c r="BJ25" i="9"/>
  <c r="BC26" i="9"/>
  <c r="BD26" i="9"/>
  <c r="BE26" i="9"/>
  <c r="BF26" i="9"/>
  <c r="BG26" i="9"/>
  <c r="BH26" i="9"/>
  <c r="BI26" i="9"/>
  <c r="BJ26" i="9"/>
  <c r="BC28" i="9"/>
  <c r="BD28" i="9"/>
  <c r="BE28" i="9"/>
  <c r="BF28" i="9"/>
  <c r="BG28" i="9"/>
  <c r="BH28" i="9"/>
  <c r="BI28" i="9"/>
  <c r="BJ28" i="9"/>
  <c r="BC31" i="9"/>
  <c r="BD31" i="9"/>
  <c r="BE31" i="9"/>
  <c r="BF31" i="9"/>
  <c r="BG31" i="9"/>
  <c r="BH31" i="9"/>
  <c r="BI31" i="9"/>
  <c r="BJ31" i="9"/>
  <c r="BC33" i="9"/>
  <c r="BD33" i="9"/>
  <c r="BE33" i="9"/>
  <c r="BF33" i="9"/>
  <c r="BG33" i="9"/>
  <c r="BH33" i="9"/>
  <c r="BI33" i="9"/>
  <c r="BJ33" i="9"/>
  <c r="BC35" i="9"/>
  <c r="BD35" i="9"/>
  <c r="BE35" i="9"/>
  <c r="BF35" i="9"/>
  <c r="BG35" i="9"/>
  <c r="BH35" i="9"/>
  <c r="BI35" i="9"/>
  <c r="BJ35" i="9"/>
  <c r="BC38" i="9"/>
  <c r="BD38" i="9"/>
  <c r="BE38" i="9"/>
  <c r="BF38" i="9"/>
  <c r="BG38" i="9"/>
  <c r="BH38" i="9"/>
  <c r="BI38" i="9"/>
  <c r="BJ38" i="9"/>
  <c r="BC39" i="9"/>
  <c r="BD39" i="9"/>
  <c r="BE39" i="9"/>
  <c r="BF39" i="9"/>
  <c r="BG39" i="9"/>
  <c r="BH39" i="9"/>
  <c r="BI39" i="9"/>
  <c r="BJ39" i="9"/>
  <c r="BC40" i="9"/>
  <c r="BD40" i="9"/>
  <c r="BE40" i="9"/>
  <c r="BF40" i="9"/>
  <c r="BG40" i="9"/>
  <c r="BH40" i="9"/>
  <c r="BI40" i="9"/>
  <c r="BJ40" i="9"/>
  <c r="BC41" i="9"/>
  <c r="BD41" i="9"/>
  <c r="BE41" i="9"/>
  <c r="BF41" i="9"/>
  <c r="BG41" i="9"/>
  <c r="BH41" i="9"/>
  <c r="BI41" i="9"/>
  <c r="BJ41" i="9"/>
  <c r="BC42" i="9"/>
  <c r="BD42" i="9"/>
  <c r="BE42" i="9"/>
  <c r="BF42" i="9"/>
  <c r="BG42" i="9"/>
  <c r="BH42" i="9"/>
  <c r="BI42" i="9"/>
  <c r="BJ42" i="9"/>
  <c r="BC43" i="9"/>
  <c r="BD43" i="9"/>
  <c r="BE43" i="9"/>
  <c r="BF43" i="9"/>
  <c r="BG43" i="9"/>
  <c r="BH43" i="9"/>
  <c r="BI43" i="9"/>
  <c r="BJ43" i="9"/>
  <c r="BC44" i="9"/>
  <c r="BD44" i="9"/>
  <c r="BE44" i="9"/>
  <c r="BF44" i="9"/>
  <c r="BG44" i="9"/>
  <c r="BH44" i="9"/>
  <c r="BI44" i="9"/>
  <c r="BJ44" i="9"/>
  <c r="BC46" i="9"/>
  <c r="BD46" i="9"/>
  <c r="BE46" i="9"/>
  <c r="BF46" i="9"/>
  <c r="BG46" i="9"/>
  <c r="BH46" i="9"/>
  <c r="BI46" i="9"/>
  <c r="BJ46" i="9"/>
  <c r="BC47" i="9"/>
  <c r="BD47" i="9"/>
  <c r="BE47" i="9"/>
  <c r="BF47" i="9"/>
  <c r="BG47" i="9"/>
  <c r="BH47" i="9"/>
  <c r="BI47" i="9"/>
  <c r="BJ47" i="9"/>
  <c r="BC49" i="9"/>
  <c r="BD49" i="9"/>
  <c r="BE49" i="9"/>
  <c r="BF49" i="9"/>
  <c r="BG49" i="9"/>
  <c r="BH49" i="9"/>
  <c r="BI49" i="9"/>
  <c r="BJ49" i="9"/>
  <c r="BC50" i="9"/>
  <c r="BD50" i="9"/>
  <c r="BE50" i="9"/>
  <c r="BF50" i="9"/>
  <c r="BG50" i="9"/>
  <c r="BH50" i="9"/>
  <c r="BI50" i="9"/>
  <c r="BJ50" i="9"/>
  <c r="BC51" i="9"/>
  <c r="BD51" i="9"/>
  <c r="BE51" i="9"/>
  <c r="BF51" i="9"/>
  <c r="BG51" i="9"/>
  <c r="BH51" i="9"/>
  <c r="BI51" i="9"/>
  <c r="BJ51" i="9"/>
  <c r="BC55" i="9"/>
  <c r="BD55" i="9"/>
  <c r="BE55" i="9"/>
  <c r="BF55" i="9"/>
  <c r="BG55" i="9"/>
  <c r="BH55" i="9"/>
  <c r="BI55" i="9"/>
  <c r="BJ55" i="9"/>
  <c r="BC57" i="9"/>
  <c r="BD57" i="9"/>
  <c r="BE57" i="9"/>
  <c r="BF57" i="9"/>
  <c r="BG57" i="9"/>
  <c r="BH57" i="9"/>
  <c r="BI57" i="9"/>
  <c r="BJ57" i="9"/>
  <c r="BC58" i="9"/>
  <c r="BD58" i="9"/>
  <c r="BE58" i="9"/>
  <c r="BF58" i="9"/>
  <c r="BG58" i="9"/>
  <c r="BH58" i="9"/>
  <c r="BI58" i="9"/>
  <c r="BJ58" i="9"/>
  <c r="BC59" i="9"/>
  <c r="BD59" i="9"/>
  <c r="BE59" i="9"/>
  <c r="BF59" i="9"/>
  <c r="BG59" i="9"/>
  <c r="BH59" i="9"/>
  <c r="BI59" i="9"/>
  <c r="BJ59" i="9"/>
  <c r="BC60" i="9"/>
  <c r="BD60" i="9"/>
  <c r="BE60" i="9"/>
  <c r="BF60" i="9"/>
  <c r="BG60" i="9"/>
  <c r="BH60" i="9"/>
  <c r="BI60" i="9"/>
  <c r="BJ60" i="9"/>
  <c r="BC63" i="9"/>
  <c r="BD63" i="9"/>
  <c r="BE63" i="9"/>
  <c r="BF63" i="9"/>
  <c r="BG63" i="9"/>
  <c r="BH63" i="9"/>
  <c r="BI63" i="9"/>
  <c r="BJ63" i="9"/>
  <c r="BC64" i="9"/>
  <c r="BD64" i="9"/>
  <c r="BE64" i="9"/>
  <c r="BF64" i="9"/>
  <c r="BG64" i="9"/>
  <c r="BH64" i="9"/>
  <c r="BI64" i="9"/>
  <c r="BJ64" i="9"/>
  <c r="BC68" i="9"/>
  <c r="BD68" i="9"/>
  <c r="BE68" i="9"/>
  <c r="BF68" i="9"/>
  <c r="BG68" i="9"/>
  <c r="BH68" i="9"/>
  <c r="BI68" i="9"/>
  <c r="BJ68" i="9"/>
  <c r="BC72" i="9"/>
  <c r="BD72" i="9"/>
  <c r="BE72" i="9"/>
  <c r="BF72" i="9"/>
  <c r="BG72" i="9"/>
  <c r="BH72" i="9"/>
  <c r="BI72" i="9"/>
  <c r="BJ72" i="9"/>
  <c r="BC73" i="9"/>
  <c r="BD73" i="9"/>
  <c r="BE73" i="9"/>
  <c r="BF73" i="9"/>
  <c r="BG73" i="9"/>
  <c r="BH73" i="9"/>
  <c r="BI73" i="9"/>
  <c r="BJ73" i="9"/>
  <c r="BC74" i="9"/>
  <c r="BD74" i="9"/>
  <c r="BE74" i="9"/>
  <c r="BF74" i="9"/>
  <c r="BG74" i="9"/>
  <c r="BH74" i="9"/>
  <c r="BI74" i="9"/>
  <c r="BJ74" i="9"/>
  <c r="BC75" i="9"/>
  <c r="BD75" i="9"/>
  <c r="BE75" i="9"/>
  <c r="BF75" i="9"/>
  <c r="BG75" i="9"/>
  <c r="BH75" i="9"/>
  <c r="BI75" i="9"/>
  <c r="BJ75" i="9"/>
  <c r="BC76" i="9"/>
  <c r="BD76" i="9"/>
  <c r="BE76" i="9"/>
  <c r="BF76" i="9"/>
  <c r="BG76" i="9"/>
  <c r="BH76" i="9"/>
  <c r="BI76" i="9"/>
  <c r="BJ76" i="9"/>
  <c r="BC77" i="9"/>
  <c r="BD77" i="9"/>
  <c r="BE77" i="9"/>
  <c r="BF77" i="9"/>
  <c r="BG77" i="9"/>
  <c r="BH77" i="9"/>
  <c r="BI77" i="9"/>
  <c r="BJ77" i="9"/>
  <c r="BC78" i="9"/>
  <c r="BD78" i="9"/>
  <c r="BE78" i="9"/>
  <c r="BF78" i="9"/>
  <c r="BG78" i="9"/>
  <c r="BH78" i="9"/>
  <c r="BI78" i="9"/>
  <c r="BJ78" i="9"/>
  <c r="BC82" i="9"/>
  <c r="BD82" i="9"/>
  <c r="BE82" i="9"/>
  <c r="BF82" i="9"/>
  <c r="BG82" i="9"/>
  <c r="BH82" i="9"/>
  <c r="BI82" i="9"/>
  <c r="BJ82" i="9"/>
  <c r="BC84" i="9"/>
  <c r="BD84" i="9"/>
  <c r="BE84" i="9"/>
  <c r="BF84" i="9"/>
  <c r="BG84" i="9"/>
  <c r="BH84" i="9"/>
  <c r="BI84" i="9"/>
  <c r="BJ84" i="9"/>
  <c r="BC86" i="9"/>
  <c r="BD86" i="9"/>
  <c r="BE86" i="9"/>
  <c r="BF86" i="9"/>
  <c r="BG86" i="9"/>
  <c r="BH86" i="9"/>
  <c r="BI86" i="9"/>
  <c r="BJ86" i="9"/>
  <c r="BC87" i="9"/>
  <c r="BD87" i="9"/>
  <c r="BE87" i="9"/>
  <c r="BF87" i="9"/>
  <c r="BG87" i="9"/>
  <c r="BH87" i="9"/>
  <c r="BI87" i="9"/>
  <c r="BJ87" i="9"/>
  <c r="BC88" i="9"/>
  <c r="BD88" i="9"/>
  <c r="BE88" i="9"/>
  <c r="BF88" i="9"/>
  <c r="BG88" i="9"/>
  <c r="BH88" i="9"/>
  <c r="BI88" i="9"/>
  <c r="BJ88" i="9"/>
  <c r="BC89" i="9"/>
  <c r="BD89" i="9"/>
  <c r="BE89" i="9"/>
  <c r="BF89" i="9"/>
  <c r="BG89" i="9"/>
  <c r="BH89" i="9"/>
  <c r="BI89" i="9"/>
  <c r="BJ89" i="9"/>
  <c r="BC90" i="9"/>
  <c r="BD90" i="9"/>
  <c r="BE90" i="9"/>
  <c r="BF90" i="9"/>
  <c r="BG90" i="9"/>
  <c r="BH90" i="9"/>
  <c r="BI90" i="9"/>
  <c r="BJ90" i="9"/>
  <c r="BC91" i="9"/>
  <c r="BD91" i="9"/>
  <c r="BE91" i="9"/>
  <c r="BF91" i="9"/>
  <c r="BG91" i="9"/>
  <c r="BH91" i="9"/>
  <c r="BI91" i="9"/>
  <c r="BJ91" i="9"/>
  <c r="BC92" i="9"/>
  <c r="BD92" i="9"/>
  <c r="BE92" i="9"/>
  <c r="BF92" i="9"/>
  <c r="BG92" i="9"/>
  <c r="BH92" i="9"/>
  <c r="BI92" i="9"/>
  <c r="BJ92" i="9"/>
  <c r="BC93" i="9"/>
  <c r="BD93" i="9"/>
  <c r="BE93" i="9"/>
  <c r="BF93" i="9"/>
  <c r="BG93" i="9"/>
  <c r="BH93" i="9"/>
  <c r="BI93" i="9"/>
  <c r="BJ93" i="9"/>
  <c r="BC94" i="9"/>
  <c r="BD94" i="9"/>
  <c r="BE94" i="9"/>
  <c r="BF94" i="9"/>
  <c r="BG94" i="9"/>
  <c r="BH94" i="9"/>
  <c r="BI94" i="9"/>
  <c r="BJ94" i="9"/>
  <c r="BC97" i="9"/>
  <c r="BD97" i="9"/>
  <c r="BE97" i="9"/>
  <c r="BF97" i="9"/>
  <c r="BG97" i="9"/>
  <c r="BH97" i="9"/>
  <c r="BI97" i="9"/>
  <c r="BJ97" i="9"/>
  <c r="BC98" i="9"/>
  <c r="BD98" i="9"/>
  <c r="BE98" i="9"/>
  <c r="BF98" i="9"/>
  <c r="BG98" i="9"/>
  <c r="BH98" i="9"/>
  <c r="BI98" i="9"/>
  <c r="BJ98" i="9"/>
  <c r="BC99" i="9"/>
  <c r="BD99" i="9"/>
  <c r="BE99" i="9"/>
  <c r="BF99" i="9"/>
  <c r="BG99" i="9"/>
  <c r="BH99" i="9"/>
  <c r="BI99" i="9"/>
  <c r="BJ99" i="9"/>
  <c r="BC100" i="9"/>
  <c r="BD100" i="9"/>
  <c r="BE100" i="9"/>
  <c r="BF100" i="9"/>
  <c r="BG100" i="9"/>
  <c r="BH100" i="9"/>
  <c r="BI100" i="9"/>
  <c r="BJ100" i="9"/>
  <c r="BC101" i="9"/>
  <c r="BD101" i="9"/>
  <c r="BE101" i="9"/>
  <c r="BF101" i="9"/>
  <c r="BG101" i="9"/>
  <c r="BH101" i="9"/>
  <c r="BI101" i="9"/>
  <c r="BJ101" i="9"/>
  <c r="BC103" i="9"/>
  <c r="BD103" i="9"/>
  <c r="BE103" i="9"/>
  <c r="BF103" i="9"/>
  <c r="BG103" i="9"/>
  <c r="BH103" i="9"/>
  <c r="BI103" i="9"/>
  <c r="BJ103" i="9"/>
  <c r="BC104" i="9"/>
  <c r="BD104" i="9"/>
  <c r="BE104" i="9"/>
  <c r="BF104" i="9"/>
  <c r="BG104" i="9"/>
  <c r="BH104" i="9"/>
  <c r="BI104" i="9"/>
  <c r="BJ104" i="9"/>
  <c r="BC105" i="9"/>
  <c r="BD105" i="9"/>
  <c r="BE105" i="9"/>
  <c r="BF105" i="9"/>
  <c r="BG105" i="9"/>
  <c r="BH105" i="9"/>
  <c r="BI105" i="9"/>
  <c r="BJ105" i="9"/>
  <c r="BC106" i="9"/>
  <c r="BD106" i="9"/>
  <c r="BE106" i="9"/>
  <c r="BF106" i="9"/>
  <c r="BG106" i="9"/>
  <c r="BH106" i="9"/>
  <c r="BI106" i="9"/>
  <c r="BJ106" i="9"/>
  <c r="BC107" i="9"/>
  <c r="BD107" i="9"/>
  <c r="BE107" i="9"/>
  <c r="BF107" i="9"/>
  <c r="BG107" i="9"/>
  <c r="BH107" i="9"/>
  <c r="BI107" i="9"/>
  <c r="BJ107" i="9"/>
  <c r="BC108" i="9"/>
  <c r="BD108" i="9"/>
  <c r="BE108" i="9"/>
  <c r="BF108" i="9"/>
  <c r="BG108" i="9"/>
  <c r="BH108" i="9"/>
  <c r="BI108" i="9"/>
  <c r="BJ108" i="9"/>
  <c r="BC109" i="9"/>
  <c r="BD109" i="9"/>
  <c r="BE109" i="9"/>
  <c r="BF109" i="9"/>
  <c r="BG109" i="9"/>
  <c r="BH109" i="9"/>
  <c r="BI109" i="9"/>
  <c r="BJ109" i="9"/>
  <c r="BC110" i="9"/>
  <c r="BD110" i="9"/>
  <c r="BE110" i="9"/>
  <c r="BF110" i="9"/>
  <c r="BG110" i="9"/>
  <c r="BH110" i="9"/>
  <c r="BI110" i="9"/>
  <c r="BJ110" i="9"/>
  <c r="BC111" i="9"/>
  <c r="BD111" i="9"/>
  <c r="BE111" i="9"/>
  <c r="BF111" i="9"/>
  <c r="BG111" i="9"/>
  <c r="BH111" i="9"/>
  <c r="BI111" i="9"/>
  <c r="BJ111" i="9"/>
  <c r="BC112" i="9"/>
  <c r="BD112" i="9"/>
  <c r="BE112" i="9"/>
  <c r="BF112" i="9"/>
  <c r="BG112" i="9"/>
  <c r="BH112" i="9"/>
  <c r="BI112" i="9"/>
  <c r="BJ112" i="9"/>
  <c r="BC113" i="9"/>
  <c r="BD113" i="9"/>
  <c r="BE113" i="9"/>
  <c r="BF113" i="9"/>
  <c r="BG113" i="9"/>
  <c r="BH113" i="9"/>
  <c r="BI113" i="9"/>
  <c r="BJ113" i="9"/>
  <c r="BC114" i="9"/>
  <c r="BD114" i="9"/>
  <c r="BE114" i="9"/>
  <c r="BF114" i="9"/>
  <c r="BG114" i="9"/>
  <c r="BH114" i="9"/>
  <c r="BI114" i="9"/>
  <c r="BJ114" i="9"/>
  <c r="BC116" i="9"/>
  <c r="BD116" i="9"/>
  <c r="BE116" i="9"/>
  <c r="BF116" i="9"/>
  <c r="BG116" i="9"/>
  <c r="BH116" i="9"/>
  <c r="BI116" i="9"/>
  <c r="BJ116" i="9"/>
  <c r="BC117" i="9"/>
  <c r="BD117" i="9"/>
  <c r="BE117" i="9"/>
  <c r="BF117" i="9"/>
  <c r="BG117" i="9"/>
  <c r="BH117" i="9"/>
  <c r="BI117" i="9"/>
  <c r="BJ117" i="9"/>
  <c r="BC118" i="9"/>
  <c r="BD118" i="9"/>
  <c r="BE118" i="9"/>
  <c r="BF118" i="9"/>
  <c r="BG118" i="9"/>
  <c r="BH118" i="9"/>
  <c r="BI118" i="9"/>
  <c r="BJ118" i="9"/>
  <c r="BC119" i="9"/>
  <c r="BD119" i="9"/>
  <c r="BE119" i="9"/>
  <c r="BF119" i="9"/>
  <c r="BG119" i="9"/>
  <c r="BH119" i="9"/>
  <c r="BI119" i="9"/>
  <c r="BJ119" i="9"/>
  <c r="BC120" i="9"/>
  <c r="BD120" i="9"/>
  <c r="BE120" i="9"/>
  <c r="BF120" i="9"/>
  <c r="BG120" i="9"/>
  <c r="BH120" i="9"/>
  <c r="BI120" i="9"/>
  <c r="BJ120" i="9"/>
  <c r="BC121" i="9"/>
  <c r="BD121" i="9"/>
  <c r="BE121" i="9"/>
  <c r="BF121" i="9"/>
  <c r="BG121" i="9"/>
  <c r="BH121" i="9"/>
  <c r="BI121" i="9"/>
  <c r="BJ121" i="9"/>
  <c r="BC123" i="9"/>
  <c r="BD123" i="9"/>
  <c r="BE123" i="9"/>
  <c r="BF123" i="9"/>
  <c r="BG123" i="9"/>
  <c r="BH123" i="9"/>
  <c r="BI123" i="9"/>
  <c r="BJ123" i="9"/>
  <c r="BC124" i="9"/>
  <c r="BD124" i="9"/>
  <c r="BE124" i="9"/>
  <c r="BF124" i="9"/>
  <c r="BG124" i="9"/>
  <c r="BH124" i="9"/>
  <c r="BI124" i="9"/>
  <c r="BJ124" i="9"/>
  <c r="BC125" i="9"/>
  <c r="BD125" i="9"/>
  <c r="BE125" i="9"/>
  <c r="BF125" i="9"/>
  <c r="BG125" i="9"/>
  <c r="BH125" i="9"/>
  <c r="BI125" i="9"/>
  <c r="BJ125" i="9"/>
  <c r="BC126" i="9"/>
  <c r="BD126" i="9"/>
  <c r="BE126" i="9"/>
  <c r="BF126" i="9"/>
  <c r="BG126" i="9"/>
  <c r="BH126" i="9"/>
  <c r="BI126" i="9"/>
  <c r="BJ126" i="9"/>
  <c r="BC127" i="9"/>
  <c r="BD127" i="9"/>
  <c r="BE127" i="9"/>
  <c r="BF127" i="9"/>
  <c r="BG127" i="9"/>
  <c r="BH127" i="9"/>
  <c r="BI127" i="9"/>
  <c r="BJ127" i="9"/>
  <c r="BK2" i="9"/>
  <c r="BL2" i="9"/>
  <c r="BM2" i="9"/>
  <c r="BN2" i="9"/>
  <c r="BO2" i="9"/>
  <c r="BP2" i="9"/>
  <c r="BQ2" i="9"/>
  <c r="BR2" i="9"/>
  <c r="BK4" i="9"/>
  <c r="BL4" i="9"/>
  <c r="BM4" i="9"/>
  <c r="BN4" i="9"/>
  <c r="BO4" i="9"/>
  <c r="BP4" i="9"/>
  <c r="BQ4" i="9"/>
  <c r="BR4" i="9"/>
  <c r="BK5" i="9"/>
  <c r="BL5" i="9"/>
  <c r="BM5" i="9"/>
  <c r="BN5" i="9"/>
  <c r="BO5" i="9"/>
  <c r="BP5" i="9"/>
  <c r="BQ5" i="9"/>
  <c r="BR5" i="9"/>
  <c r="BK7" i="9"/>
  <c r="BL7" i="9"/>
  <c r="BM7" i="9"/>
  <c r="BN7" i="9"/>
  <c r="BO7" i="9"/>
  <c r="BP7" i="9"/>
  <c r="BQ7" i="9"/>
  <c r="BR7" i="9"/>
  <c r="BK8" i="9"/>
  <c r="BL8" i="9"/>
  <c r="BM8" i="9"/>
  <c r="BN8" i="9"/>
  <c r="BO8" i="9"/>
  <c r="BP8" i="9"/>
  <c r="BQ8" i="9"/>
  <c r="BR8" i="9"/>
  <c r="BK12" i="9"/>
  <c r="BL12" i="9"/>
  <c r="BM12" i="9"/>
  <c r="BN12" i="9"/>
  <c r="BO12" i="9"/>
  <c r="BP12" i="9"/>
  <c r="BQ12" i="9"/>
  <c r="BR12" i="9"/>
  <c r="BK15" i="9"/>
  <c r="BL15" i="9"/>
  <c r="BM15" i="9"/>
  <c r="BN15" i="9"/>
  <c r="BO15" i="9"/>
  <c r="BP15" i="9"/>
  <c r="BQ15" i="9"/>
  <c r="BR15" i="9"/>
  <c r="BK17" i="9"/>
  <c r="BL17" i="9"/>
  <c r="BM17" i="9"/>
  <c r="BN17" i="9"/>
  <c r="BO17" i="9"/>
  <c r="BP17" i="9"/>
  <c r="BQ17" i="9"/>
  <c r="BR17" i="9"/>
  <c r="BK19" i="9"/>
  <c r="BL19" i="9"/>
  <c r="BM19" i="9"/>
  <c r="BN19" i="9"/>
  <c r="BO19" i="9"/>
  <c r="BP19" i="9"/>
  <c r="BQ19" i="9"/>
  <c r="BR19" i="9"/>
  <c r="BK20" i="9"/>
  <c r="BL20" i="9"/>
  <c r="BM20" i="9"/>
  <c r="BN20" i="9"/>
  <c r="BO20" i="9"/>
  <c r="BP20" i="9"/>
  <c r="BQ20" i="9"/>
  <c r="BR20" i="9"/>
  <c r="BK24" i="9"/>
  <c r="BL24" i="9"/>
  <c r="BM24" i="9"/>
  <c r="BN24" i="9"/>
  <c r="BO24" i="9"/>
  <c r="BP24" i="9"/>
  <c r="BQ24" i="9"/>
  <c r="BR24" i="9"/>
  <c r="BK25" i="9"/>
  <c r="BL25" i="9"/>
  <c r="BM25" i="9"/>
  <c r="BN25" i="9"/>
  <c r="BO25" i="9"/>
  <c r="BP25" i="9"/>
  <c r="BQ25" i="9"/>
  <c r="BR25" i="9"/>
  <c r="BK28" i="9"/>
  <c r="BL28" i="9"/>
  <c r="BM28" i="9"/>
  <c r="BN28" i="9"/>
  <c r="BO28" i="9"/>
  <c r="BP28" i="9"/>
  <c r="BQ28" i="9"/>
  <c r="BR28" i="9"/>
  <c r="BK31" i="9"/>
  <c r="BL31" i="9"/>
  <c r="BM31" i="9"/>
  <c r="BN31" i="9"/>
  <c r="BO31" i="9"/>
  <c r="BP31" i="9"/>
  <c r="BQ31" i="9"/>
  <c r="BR31" i="9"/>
  <c r="BK33" i="9"/>
  <c r="BL33" i="9"/>
  <c r="BM33" i="9"/>
  <c r="BN33" i="9"/>
  <c r="BO33" i="9"/>
  <c r="BP33" i="9"/>
  <c r="BQ33" i="9"/>
  <c r="BR33" i="9"/>
  <c r="BK35" i="9"/>
  <c r="BL35" i="9"/>
  <c r="BM35" i="9"/>
  <c r="BN35" i="9"/>
  <c r="BO35" i="9"/>
  <c r="BP35" i="9"/>
  <c r="BQ35" i="9"/>
  <c r="BR35" i="9"/>
  <c r="BK38" i="9"/>
  <c r="BL38" i="9"/>
  <c r="BM38" i="9"/>
  <c r="BN38" i="9"/>
  <c r="BO38" i="9"/>
  <c r="BP38" i="9"/>
  <c r="BQ38" i="9"/>
  <c r="BR38" i="9"/>
  <c r="BK39" i="9"/>
  <c r="BL39" i="9"/>
  <c r="BM39" i="9"/>
  <c r="BN39" i="9"/>
  <c r="BO39" i="9"/>
  <c r="BP39" i="9"/>
  <c r="BQ39" i="9"/>
  <c r="BR39" i="9"/>
  <c r="BK41" i="9"/>
  <c r="BL41" i="9"/>
  <c r="BM41" i="9"/>
  <c r="BN41" i="9"/>
  <c r="BO41" i="9"/>
  <c r="BP41" i="9"/>
  <c r="BQ41" i="9"/>
  <c r="BR41" i="9"/>
  <c r="BK42" i="9"/>
  <c r="BL42" i="9"/>
  <c r="BM42" i="9"/>
  <c r="BN42" i="9"/>
  <c r="BO42" i="9"/>
  <c r="BP42" i="9"/>
  <c r="BQ42" i="9"/>
  <c r="BR42" i="9"/>
  <c r="BK43" i="9"/>
  <c r="BL43" i="9"/>
  <c r="BM43" i="9"/>
  <c r="BN43" i="9"/>
  <c r="BO43" i="9"/>
  <c r="BP43" i="9"/>
  <c r="BQ43" i="9"/>
  <c r="BR43" i="9"/>
  <c r="BK44" i="9"/>
  <c r="BL44" i="9"/>
  <c r="BM44" i="9"/>
  <c r="BN44" i="9"/>
  <c r="BO44" i="9"/>
  <c r="BP44" i="9"/>
  <c r="BQ44" i="9"/>
  <c r="BR44" i="9"/>
  <c r="BK46" i="9"/>
  <c r="BL46" i="9"/>
  <c r="BM46" i="9"/>
  <c r="BN46" i="9"/>
  <c r="BO46" i="9"/>
  <c r="BP46" i="9"/>
  <c r="BQ46" i="9"/>
  <c r="BR46" i="9"/>
  <c r="BK49" i="9"/>
  <c r="BL49" i="9"/>
  <c r="BM49" i="9"/>
  <c r="BN49" i="9"/>
  <c r="BO49" i="9"/>
  <c r="BP49" i="9"/>
  <c r="BQ49" i="9"/>
  <c r="BR49" i="9"/>
  <c r="BK55" i="9"/>
  <c r="BL55" i="9"/>
  <c r="BM55" i="9"/>
  <c r="BN55" i="9"/>
  <c r="BO55" i="9"/>
  <c r="BP55" i="9"/>
  <c r="BQ55" i="9"/>
  <c r="BR55" i="9"/>
  <c r="BK57" i="9"/>
  <c r="BL57" i="9"/>
  <c r="BM57" i="9"/>
  <c r="BN57" i="9"/>
  <c r="BO57" i="9"/>
  <c r="BP57" i="9"/>
  <c r="BQ57" i="9"/>
  <c r="BR57" i="9"/>
  <c r="BK60" i="9"/>
  <c r="BL60" i="9"/>
  <c r="BM60" i="9"/>
  <c r="BN60" i="9"/>
  <c r="BO60" i="9"/>
  <c r="BP60" i="9"/>
  <c r="BQ60" i="9"/>
  <c r="BR60" i="9"/>
  <c r="BK63" i="9"/>
  <c r="BL63" i="9"/>
  <c r="BM63" i="9"/>
  <c r="BN63" i="9"/>
  <c r="BO63" i="9"/>
  <c r="BP63" i="9"/>
  <c r="BQ63" i="9"/>
  <c r="BR63" i="9"/>
  <c r="BK64" i="9"/>
  <c r="BL64" i="9"/>
  <c r="BM64" i="9"/>
  <c r="BN64" i="9"/>
  <c r="BO64" i="9"/>
  <c r="BP64" i="9"/>
  <c r="BQ64" i="9"/>
  <c r="BR64" i="9"/>
  <c r="BK68" i="9"/>
  <c r="BL68" i="9"/>
  <c r="BM68" i="9"/>
  <c r="BN68" i="9"/>
  <c r="BO68" i="9"/>
  <c r="BP68" i="9"/>
  <c r="BQ68" i="9"/>
  <c r="BR68" i="9"/>
  <c r="BK73" i="9"/>
  <c r="BL73" i="9"/>
  <c r="BM73" i="9"/>
  <c r="BN73" i="9"/>
  <c r="BO73" i="9"/>
  <c r="BP73" i="9"/>
  <c r="BQ73" i="9"/>
  <c r="BR73" i="9"/>
  <c r="BK74" i="9"/>
  <c r="BL74" i="9"/>
  <c r="BM74" i="9"/>
  <c r="BN74" i="9"/>
  <c r="BO74" i="9"/>
  <c r="BP74" i="9"/>
  <c r="BQ74" i="9"/>
  <c r="BR74" i="9"/>
  <c r="BK75" i="9"/>
  <c r="BL75" i="9"/>
  <c r="BM75" i="9"/>
  <c r="BN75" i="9"/>
  <c r="BO75" i="9"/>
  <c r="BP75" i="9"/>
  <c r="BQ75" i="9"/>
  <c r="BR75" i="9"/>
  <c r="BK76" i="9"/>
  <c r="BL76" i="9"/>
  <c r="BM76" i="9"/>
  <c r="BN76" i="9"/>
  <c r="BO76" i="9"/>
  <c r="BP76" i="9"/>
  <c r="BQ76" i="9"/>
  <c r="BR76" i="9"/>
  <c r="BK77" i="9"/>
  <c r="BL77" i="9"/>
  <c r="BM77" i="9"/>
  <c r="BN77" i="9"/>
  <c r="BO77" i="9"/>
  <c r="BP77" i="9"/>
  <c r="BQ77" i="9"/>
  <c r="BR77" i="9"/>
  <c r="BK82" i="9"/>
  <c r="BL82" i="9"/>
  <c r="BM82" i="9"/>
  <c r="BN82" i="9"/>
  <c r="BO82" i="9"/>
  <c r="BP82" i="9"/>
  <c r="BQ82" i="9"/>
  <c r="BR82" i="9"/>
  <c r="BK84" i="9"/>
  <c r="BL84" i="9"/>
  <c r="BM84" i="9"/>
  <c r="BN84" i="9"/>
  <c r="BO84" i="9"/>
  <c r="BP84" i="9"/>
  <c r="BQ84" i="9"/>
  <c r="BR84" i="9"/>
  <c r="BK86" i="9"/>
  <c r="BL86" i="9"/>
  <c r="BM86" i="9"/>
  <c r="BN86" i="9"/>
  <c r="BO86" i="9"/>
  <c r="BP86" i="9"/>
  <c r="BQ86" i="9"/>
  <c r="BR86" i="9"/>
  <c r="BK87" i="9"/>
  <c r="BL87" i="9"/>
  <c r="BM87" i="9"/>
  <c r="BN87" i="9"/>
  <c r="BO87" i="9"/>
  <c r="BP87" i="9"/>
  <c r="BQ87" i="9"/>
  <c r="BR87" i="9"/>
  <c r="BK89" i="9"/>
  <c r="BL89" i="9"/>
  <c r="BM89" i="9"/>
  <c r="BN89" i="9"/>
  <c r="BO89" i="9"/>
  <c r="BP89" i="9"/>
  <c r="BQ89" i="9"/>
  <c r="BR89" i="9"/>
  <c r="BK90" i="9"/>
  <c r="BL90" i="9"/>
  <c r="BM90" i="9"/>
  <c r="BN90" i="9"/>
  <c r="BO90" i="9"/>
  <c r="BP90" i="9"/>
  <c r="BQ90" i="9"/>
  <c r="BR90" i="9"/>
  <c r="BK91" i="9"/>
  <c r="BL91" i="9"/>
  <c r="BM91" i="9"/>
  <c r="BN91" i="9"/>
  <c r="BO91" i="9"/>
  <c r="BP91" i="9"/>
  <c r="BQ91" i="9"/>
  <c r="BR91" i="9"/>
  <c r="BK93" i="9"/>
  <c r="BL93" i="9"/>
  <c r="BM93" i="9"/>
  <c r="BN93" i="9"/>
  <c r="BO93" i="9"/>
  <c r="BP93" i="9"/>
  <c r="BQ93" i="9"/>
  <c r="BR93" i="9"/>
  <c r="BK94" i="9"/>
  <c r="BL94" i="9"/>
  <c r="BM94" i="9"/>
  <c r="BN94" i="9"/>
  <c r="BO94" i="9"/>
  <c r="BP94" i="9"/>
  <c r="BQ94" i="9"/>
  <c r="BR94" i="9"/>
  <c r="BK97" i="9"/>
  <c r="BL97" i="9"/>
  <c r="BM97" i="9"/>
  <c r="BN97" i="9"/>
  <c r="BO97" i="9"/>
  <c r="BP97" i="9"/>
  <c r="BQ97" i="9"/>
  <c r="BR97" i="9"/>
  <c r="BK98" i="9"/>
  <c r="BL98" i="9"/>
  <c r="BM98" i="9"/>
  <c r="BN98" i="9"/>
  <c r="BO98" i="9"/>
  <c r="BP98" i="9"/>
  <c r="BQ98" i="9"/>
  <c r="BR98" i="9"/>
  <c r="BK99" i="9"/>
  <c r="BL99" i="9"/>
  <c r="BM99" i="9"/>
  <c r="BN99" i="9"/>
  <c r="BO99" i="9"/>
  <c r="BP99" i="9"/>
  <c r="BQ99" i="9"/>
  <c r="BR99" i="9"/>
  <c r="BK100" i="9"/>
  <c r="BL100" i="9"/>
  <c r="BM100" i="9"/>
  <c r="BN100" i="9"/>
  <c r="BO100" i="9"/>
  <c r="BP100" i="9"/>
  <c r="BQ100" i="9"/>
  <c r="BR100" i="9"/>
  <c r="BK101" i="9"/>
  <c r="BL101" i="9"/>
  <c r="BM101" i="9"/>
  <c r="BN101" i="9"/>
  <c r="BO101" i="9"/>
  <c r="BP101" i="9"/>
  <c r="BQ101" i="9"/>
  <c r="BR101" i="9"/>
  <c r="BK103" i="9"/>
  <c r="BL103" i="9"/>
  <c r="BM103" i="9"/>
  <c r="BN103" i="9"/>
  <c r="BO103" i="9"/>
  <c r="BP103" i="9"/>
  <c r="BQ103" i="9"/>
  <c r="BR103" i="9"/>
  <c r="BK104" i="9"/>
  <c r="BL104" i="9"/>
  <c r="BM104" i="9"/>
  <c r="BN104" i="9"/>
  <c r="BO104" i="9"/>
  <c r="BP104" i="9"/>
  <c r="BQ104" i="9"/>
  <c r="BR104" i="9"/>
  <c r="BK106" i="9"/>
  <c r="BL106" i="9"/>
  <c r="BM106" i="9"/>
  <c r="BN106" i="9"/>
  <c r="BO106" i="9"/>
  <c r="BP106" i="9"/>
  <c r="BQ106" i="9"/>
  <c r="BR106" i="9"/>
  <c r="BK107" i="9"/>
  <c r="BL107" i="9"/>
  <c r="BM107" i="9"/>
  <c r="BN107" i="9"/>
  <c r="BO107" i="9"/>
  <c r="BP107" i="9"/>
  <c r="BQ107" i="9"/>
  <c r="BR107" i="9"/>
  <c r="BK108" i="9"/>
  <c r="BL108" i="9"/>
  <c r="BM108" i="9"/>
  <c r="BN108" i="9"/>
  <c r="BO108" i="9"/>
  <c r="BP108" i="9"/>
  <c r="BQ108" i="9"/>
  <c r="BR108" i="9"/>
  <c r="BK110" i="9"/>
  <c r="BL110" i="9"/>
  <c r="BM110" i="9"/>
  <c r="BN110" i="9"/>
  <c r="BO110" i="9"/>
  <c r="BP110" i="9"/>
  <c r="BQ110" i="9"/>
  <c r="BR110" i="9"/>
  <c r="BK111" i="9"/>
  <c r="BL111" i="9"/>
  <c r="BM111" i="9"/>
  <c r="BN111" i="9"/>
  <c r="BO111" i="9"/>
  <c r="BP111" i="9"/>
  <c r="BQ111" i="9"/>
  <c r="BR111" i="9"/>
  <c r="BK112" i="9"/>
  <c r="BL112" i="9"/>
  <c r="BM112" i="9"/>
  <c r="BN112" i="9"/>
  <c r="BO112" i="9"/>
  <c r="BP112" i="9"/>
  <c r="BQ112" i="9"/>
  <c r="BR112" i="9"/>
  <c r="BK114" i="9"/>
  <c r="BL114" i="9"/>
  <c r="BM114" i="9"/>
  <c r="BN114" i="9"/>
  <c r="BO114" i="9"/>
  <c r="BP114" i="9"/>
  <c r="BQ114" i="9"/>
  <c r="BR114" i="9"/>
  <c r="BK120" i="9"/>
  <c r="BL120" i="9"/>
  <c r="BM120" i="9"/>
  <c r="BN120" i="9"/>
  <c r="BO120" i="9"/>
  <c r="BP120" i="9"/>
  <c r="BQ120" i="9"/>
  <c r="BR120" i="9"/>
  <c r="BK121" i="9"/>
  <c r="BL121" i="9"/>
  <c r="BM121" i="9"/>
  <c r="BN121" i="9"/>
  <c r="BO121" i="9"/>
  <c r="BP121" i="9"/>
  <c r="BQ121" i="9"/>
  <c r="BR121" i="9"/>
  <c r="BK124" i="9"/>
  <c r="BL124" i="9"/>
  <c r="BM124" i="9"/>
  <c r="BN124" i="9"/>
  <c r="BO124" i="9"/>
  <c r="BP124" i="9"/>
  <c r="BQ124" i="9"/>
  <c r="BR124" i="9"/>
  <c r="BK127" i="9"/>
  <c r="BL127" i="9"/>
  <c r="BM127" i="9"/>
  <c r="BN127" i="9"/>
  <c r="BO127" i="9"/>
  <c r="BP127" i="9"/>
  <c r="BQ127" i="9"/>
  <c r="BR127" i="9"/>
  <c r="J38" i="5"/>
  <c r="J37" i="5"/>
</calcChain>
</file>

<file path=xl/connections.xml><?xml version="1.0" encoding="utf-8"?>
<connections xmlns="http://schemas.openxmlformats.org/spreadsheetml/2006/main">
  <connection id="1" name="time_series_19-covid-Confirmed.csv" type="6" refreshedVersion="0" background="1" saveData="1">
    <textPr fileType="mac" sourceFile="macOS:Users:cwverhey:Desktop:map:time_series_19-covid-Confirmed.csv" decimal="," thousands="." tab="0" comma="1">
      <textFields count="5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ime_series_19-covid-Confirmed.csv.1" type="6" refreshedVersion="0" background="1" saveData="1">
    <textPr fileType="mac" sourceFile="macOS:Users:cwverhey:Desktop:map:time_series_19-covid-Confirmed.csv.1" decimal="," thousands="." tab="0" comma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ime_series_19-covid-Confirmed.csv.11" type="6" refreshedVersion="0" background="1" saveData="1">
    <textPr fileType="mac" sourceFile="macOS:Users:cwverhey:Desktop:map:time_series_19-covid-Confirmed.csv.1" decimal="," thousands="." tab="0" comma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ime_series_19-covid-Confirmed.csv.12" type="6" refreshedVersion="0" background="1" saveData="1">
    <textPr fileType="mac" sourceFile="macOS:Users:cwverhey:Desktop:map:time_series_19-covid-Confirmed.csv.1" decimal="," thousands="." tab="0" semicolon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<sst xmlns="http://schemas.openxmlformats.org/spreadsheetml/2006/main" count="907" uniqueCount="256">
  <si>
    <t>Country/Region</t>
  </si>
  <si>
    <t>Thailand</t>
  </si>
  <si>
    <t>Japan</t>
  </si>
  <si>
    <t>Singapore</t>
  </si>
  <si>
    <t>Nepal</t>
  </si>
  <si>
    <t>Malaysia</t>
  </si>
  <si>
    <t>Canada</t>
  </si>
  <si>
    <t>Australia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</si>
  <si>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</si>
  <si>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</si>
  <si>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</si>
  <si>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</si>
  <si>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</si>
  <si>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</si>
  <si>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</si>
  <si>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</si>
  <si>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</si>
  <si>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</si>
  <si>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</si>
  <si>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</si>
  <si>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</si>
  <si>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</si>
  <si>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</si>
  <si>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</si>
  <si>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</si>
  <si>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</si>
  <si>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</si>
  <si>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</si>
  <si>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</si>
  <si>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</si>
  <si>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</si>
  <si>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</si>
  <si>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</si>
  <si>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</si>
  <si>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</si>
  <si>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</si>
  <si>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</si>
  <si>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</si>
  <si>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</si>
  <si>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</si>
  <si>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</si>
  <si>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</si>
  <si>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</si>
  <si>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</si>
  <si>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</si>
  <si>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</si>
  <si>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</si>
  <si>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</si>
  <si>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</si>
  <si>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</si>
  <si>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</si>
  <si>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</si>
  <si>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</si>
  <si>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</si>
  <si>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</si>
  <si>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</si>
  <si>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</si>
  <si>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</si>
  <si>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</si>
  <si>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</si>
  <si>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</si>
  <si>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</si>
  <si>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</si>
  <si>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</si>
  <si>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</si>
  <si>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</si>
  <si>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</si>
  <si>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</si>
  <si>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</si>
  <si>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</si>
  <si>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</si>
  <si>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</si>
  <si>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</si>
  <si>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</si>
  <si>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</si>
  <si>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</si>
  <si>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</si>
  <si>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</si>
  <si>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</si>
  <si>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</si>
  <si>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</si>
  <si>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</si>
  <si>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</si>
  <si>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</si>
  <si>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</si>
  <si>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</si>
  <si>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</si>
  <si>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Paraguay</t>
  </si>
  <si>
    <t>Albania</t>
  </si>
  <si>
    <t>Cyprus</t>
  </si>
  <si>
    <t>Brunei</t>
  </si>
  <si>
    <t>US</t>
  </si>
  <si>
    <t>Diamond Princess</t>
  </si>
  <si>
    <t>Burkina Faso</t>
  </si>
  <si>
    <t>Holy See</t>
  </si>
  <si>
    <t>Mongolia</t>
  </si>
  <si>
    <t>Panama</t>
  </si>
  <si>
    <t>Iran</t>
  </si>
  <si>
    <t>Korea, South</t>
  </si>
  <si>
    <t>France</t>
  </si>
  <si>
    <t>UK</t>
  </si>
  <si>
    <t>Denmark</t>
  </si>
  <si>
    <t>Czechia</t>
  </si>
  <si>
    <t>Taiwan*</t>
  </si>
  <si>
    <t>Vietnam</t>
  </si>
  <si>
    <t>Russia</t>
  </si>
  <si>
    <t>Moldova</t>
  </si>
  <si>
    <t>Bolivia</t>
  </si>
  <si>
    <t>Honduras</t>
  </si>
  <si>
    <t>Congo (Kinshasa)</t>
  </si>
  <si>
    <t>Cote d'Ivoire</t>
  </si>
  <si>
    <t>Jamaica</t>
  </si>
  <si>
    <t>Reunion</t>
  </si>
  <si>
    <t>Turkey</t>
  </si>
  <si>
    <t>CASES</t>
  </si>
  <si>
    <t>CASES_DAY_7</t>
  </si>
  <si>
    <t>CASES_DAY_0</t>
  </si>
  <si>
    <t>CASES_DAY_MID</t>
  </si>
  <si>
    <t>AVG_GROWTH MAR03-MAR09</t>
  </si>
  <si>
    <t>Average Daily Growth Rate between March 2 and March 9</t>
  </si>
  <si>
    <t>Countries beyond this threshold double cases every 2 days</t>
  </si>
  <si>
    <t>5% growth rate (Pueyo cutoff)</t>
  </si>
  <si>
    <t>Taiwan</t>
  </si>
  <si>
    <t>The Netherlands</t>
  </si>
  <si>
    <t>UAE</t>
  </si>
  <si>
    <t>South Korea</t>
  </si>
  <si>
    <t>China excl. Hubei</t>
  </si>
  <si>
    <t>Hubei, China</t>
  </si>
  <si>
    <t>USA</t>
  </si>
  <si>
    <t>Cuba</t>
  </si>
  <si>
    <t>Guyana</t>
  </si>
  <si>
    <t>Kazakhstan</t>
  </si>
  <si>
    <t>Cayman Islands</t>
  </si>
  <si>
    <t>Guadeloupe</t>
  </si>
  <si>
    <t>Ethiopia</t>
  </si>
  <si>
    <t>Sudan</t>
  </si>
  <si>
    <t>Guinea</t>
  </si>
  <si>
    <t>Aruba</t>
  </si>
  <si>
    <t>Kenya</t>
  </si>
  <si>
    <t>Antigua and Barbuda</t>
  </si>
  <si>
    <t>UK total</t>
  </si>
  <si>
    <t>France total</t>
  </si>
  <si>
    <t>Denmark total</t>
  </si>
  <si>
    <t>Diamond Princess total</t>
  </si>
  <si>
    <t>Australia total</t>
  </si>
  <si>
    <t>Canada total</t>
  </si>
  <si>
    <t>China total minus Hubei</t>
  </si>
  <si>
    <t>China, Hubei</t>
  </si>
  <si>
    <t>type</t>
  </si>
  <si>
    <t>real</t>
  </si>
  <si>
    <t>1 day growth</t>
  </si>
  <si>
    <t>2 day growth</t>
  </si>
  <si>
    <t>3 day growth</t>
  </si>
  <si>
    <t>4 day growth</t>
  </si>
  <si>
    <t>5 day growth</t>
  </si>
  <si>
    <t>6 day growth</t>
  </si>
  <si>
    <t>7 day growth</t>
  </si>
  <si>
    <t>true cases</t>
  </si>
  <si>
    <t>1 day avg</t>
  </si>
  <si>
    <t>2 day avg</t>
  </si>
  <si>
    <t>3 day avg</t>
  </si>
  <si>
    <t>4 day avg</t>
  </si>
  <si>
    <t>5 day avg</t>
  </si>
  <si>
    <t>7 day avg</t>
  </si>
  <si>
    <t>6  day avg</t>
  </si>
  <si>
    <t>China minus Hubei</t>
  </si>
  <si>
    <t>n</t>
  </si>
  <si>
    <t>per 1M</t>
  </si>
  <si>
    <t>cases per 1M</t>
  </si>
  <si>
    <t>IC patients per 1M inhabitants</t>
  </si>
  <si>
    <t>10% of cases per 1M inhabitants</t>
  </si>
  <si>
    <t>percentage of cases on IC</t>
  </si>
  <si>
    <t>prediction</t>
  </si>
  <si>
    <t>IC beds per 1M inhabitants</t>
  </si>
  <si>
    <t>Scenario 2: 800 extra IC beds</t>
  </si>
  <si>
    <t>Scenario 1: 850 IC beds (current situation)</t>
  </si>
  <si>
    <t>IC beds available per 17.18M inhabitants =</t>
  </si>
  <si>
    <t>IC beds per 1M inhabitants =</t>
  </si>
  <si>
    <t>patients per 1M inhabitants</t>
  </si>
  <si>
    <t>Italy will likely reach that number of cases on 17 March. NL, 9 days behind, around 26 March.</t>
  </si>
  <si>
    <t>Italy will likely reach that number of cases on 21 March. NL, 9 days behind, around 30 March.</t>
  </si>
  <si>
    <t>When we only look at the time period where Italy had between 50 to 1000 corona patients in IC beds, they amounted to 8-10% of all their corona cases (Feb 27-Mar 10). Therefore I selected 10% of all patients as a safe but realistic share of patients that would require IC care. I ignored the rest of the values: before reaching 50 IC-patients, diagnosis might have been suboptimal leading to higher disease severity. After reaching 1000 patients in IC beds, not all eligible patients might have been able to get one.</t>
  </si>
  <si>
    <t>I've assumed prevalence identical to Italy with a 9 day delay, and 10% of patients requiring IC. In reality, NL only has about 5-6% patients requiring IC now (at 1135 cases, while when Italy had 1128 cases, 9% patients of them were on IC).</t>
  </si>
  <si>
    <t>Italie</t>
  </si>
  <si>
    <t>Nederland</t>
  </si>
  <si>
    <t>date</t>
  </si>
  <si>
    <t>IC patients</t>
  </si>
  <si>
    <t>cases</t>
  </si>
  <si>
    <t>recovered</t>
  </si>
  <si>
    <t>10% of cases per 1M</t>
  </si>
  <si>
    <t>deaths</t>
  </si>
  <si>
    <t>CI low</t>
  </si>
  <si>
    <t>CI high</t>
  </si>
  <si>
    <t>x</t>
  </si>
  <si>
    <t>deaths (80% CI)</t>
  </si>
  <si>
    <t>Italy,</t>
  </si>
  <si>
    <t>IC patients (80% CI)</t>
  </si>
  <si>
    <t>NL,</t>
  </si>
  <si>
    <t>hospital patients</t>
  </si>
  <si>
    <t>hospital patients (80% CI)</t>
  </si>
  <si>
    <t>`</t>
  </si>
  <si>
    <t>te besmetten</t>
  </si>
  <si>
    <t>verblijfduur IC</t>
  </si>
  <si>
    <t>dagen</t>
  </si>
  <si>
    <t>nodig voor herd immunity</t>
  </si>
  <si>
    <t>=</t>
  </si>
  <si>
    <t>inwoners</t>
  </si>
  <si>
    <t>personen</t>
  </si>
  <si>
    <t>NL totaal</t>
  </si>
  <si>
    <t>benodigde tijd</t>
  </si>
  <si>
    <t>0-9</t>
  </si>
  <si>
    <t>20-29</t>
  </si>
  <si>
    <t>30-39</t>
  </si>
  <si>
    <t>40-49</t>
  </si>
  <si>
    <t>50-59</t>
  </si>
  <si>
    <t>60-69</t>
  </si>
  <si>
    <t>70-79</t>
  </si>
  <si>
    <t>80+</t>
  </si>
  <si>
    <t>10-19</t>
  </si>
  <si>
    <t>CFR</t>
  </si>
  <si>
    <t>ascertainment</t>
  </si>
  <si>
    <t>algemene IC load</t>
  </si>
  <si>
    <t>relatieve mortaliteit 0-49j</t>
  </si>
  <si>
    <t>IC-patiënten</t>
  </si>
  <si>
    <t>/</t>
  </si>
  <si>
    <t>IC-bedden beschikbaar</t>
  </si>
  <si>
    <t>beddagen</t>
  </si>
  <si>
    <t>IC-bed behoefte</t>
  </si>
  <si>
    <t>bedden</t>
  </si>
  <si>
    <t>https://www.cbs.nl/en-gb/visualisaties/population-counter</t>
  </si>
  <si>
    <t>https://nos.nl/nieuwsuur/artikel/2327338-50-tot-60-procent-nederlanders-moet-corona-krijgen-voor-groepsimmuniteit.html</t>
  </si>
  <si>
    <t>bovengrens 95%CI https://www.medrxiv.org/content/10.1101/2020.01.23.20018549v2.full.pdf</t>
  </si>
  <si>
    <t>https://www.euronews.com/2020/03/12/coronavirus-italy-doctors-forced-to-prioritise-icu-care-for-patients-with-best-chance-of-s</t>
  </si>
  <si>
    <t>https://www.nejm.org/doi/full/10.1056/NEJMoa2002032</t>
  </si>
  <si>
    <t>https://nos.nl/artikel/2327182-acht-nieuwe-coronadoden-162-mensen-opgenomen-in-ziekenhuis.html</t>
  </si>
  <si>
    <t>-</t>
  </si>
  <si>
    <t>Case Fatality Rate per leeftijdsgroep</t>
  </si>
  <si>
    <t>CFR's: https://www.medrxiv.org/content/10.1101/2020.03.04.20031104v1.full.pdf</t>
  </si>
  <si>
    <t>Demografie NL: https://opendata.cbs.nl/statline/#/CBS/nl/dataset/84646NED/table?ts=1584394178496</t>
  </si>
  <si>
    <t>Totaal</t>
  </si>
  <si>
    <t>Leeftijdsgroep</t>
  </si>
  <si>
    <t>gemiddeld CFR</t>
  </si>
  <si>
    <t>➡</t>
  </si>
  <si>
    <t>overlijdens*</t>
  </si>
  <si>
    <t>Totaal**</t>
  </si>
  <si>
    <t>** Gebaseerd op inwoneraantal 2019, daarom in werkelijkheid een iets kleiner aandeel 50-59-jarigen nodig</t>
  </si>
  <si>
    <t>Relatieve kwetsbaarheid optimale patientengroep:</t>
  </si>
  <si>
    <t>Tijd voordat groepsimmuniteit bereikt kan worden bij beschikbaar aantal IC-bedden</t>
  </si>
  <si>
    <t>Bij optimale condities: de jongste patienten, exact 100% bezetting</t>
  </si>
  <si>
    <t>zie hieronder</t>
  </si>
  <si>
    <t>Volledige populatie</t>
  </si>
  <si>
    <t>Optimale patientengroep</t>
  </si>
  <si>
    <t>* Indien alle inwoners symptomatische, gediagnosticeerde patienten zouden worden. Dit lijkt in realiteit voor ± 5% van de besmette personen te gelden (zie: Ascertainment-percentage)</t>
  </si>
  <si>
    <t>Netherlands,</t>
  </si>
  <si>
    <t>hospital patients (non-IC)</t>
  </si>
  <si>
    <t>IC 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</si>
</sst>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[$-409]d\-mmm;@"/>
    <numFmt numFmtId="165" formatCode="0.0%"/>
    <numFmt numFmtId="166" formatCode="0.0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rgb="FF000000"/>
      <name val="Courier"/>
    </font>
    <font>
      <sz val="14"/>
      <color rgb="FF333333"/>
      <name val="Helvetica Neue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Helvetica"/>
    </font>
    <font>
      <sz val="48"/>
      <color theme="1"/>
      <name val="Menlo Regular"/>
    </font>
    <font>
      <sz val="12"/>
      <color theme="0" tint="-0.34998626667073579"/>
      <name val="Calibri"/>
      <scheme val="minor"/>
    </font>
    <font>
      <b/>
      <sz val="12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FF3D9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4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4" fillId="0" borderId="0" xfId="0" applyFont="1"/>
    <xf numFmtId="15" fontId="0" fillId="0" borderId="0" xfId="0" applyNumberFormat="1"/>
    <xf numFmtId="15" fontId="0" fillId="0" borderId="1" xfId="0" applyNumberFormat="1" applyBorder="1"/>
    <xf numFmtId="0" fontId="0" fillId="0" borderId="1" xfId="0" applyBorder="1"/>
    <xf numFmtId="15" fontId="0" fillId="0" borderId="0" xfId="0" applyNumberFormat="1" applyBorder="1"/>
    <xf numFmtId="0" fontId="0" fillId="0" borderId="0" xfId="0" applyBorder="1"/>
    <xf numFmtId="0" fontId="0" fillId="0" borderId="0" xfId="0" applyFill="1" applyBorder="1"/>
    <xf numFmtId="0" fontId="0" fillId="0" borderId="1" xfId="0" applyFill="1" applyBorder="1"/>
    <xf numFmtId="164" fontId="0" fillId="0" borderId="0" xfId="0" applyNumberFormat="1"/>
    <xf numFmtId="0" fontId="5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0" fontId="0" fillId="3" borderId="0" xfId="0" applyFill="1"/>
    <xf numFmtId="165" fontId="0" fillId="3" borderId="0" xfId="0" applyNumberFormat="1" applyFill="1"/>
    <xf numFmtId="0" fontId="0" fillId="0" borderId="0" xfId="0" applyFill="1"/>
    <xf numFmtId="1" fontId="0" fillId="3" borderId="0" xfId="0" applyNumberFormat="1" applyFill="1"/>
    <xf numFmtId="2" fontId="0" fillId="3" borderId="0" xfId="0" applyNumberFormat="1" applyFill="1"/>
    <xf numFmtId="1" fontId="0" fillId="0" borderId="0" xfId="0" applyNumberFormat="1" applyFill="1"/>
    <xf numFmtId="9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/>
    <xf numFmtId="0" fontId="0" fillId="0" borderId="2" xfId="0" applyBorder="1"/>
    <xf numFmtId="0" fontId="0" fillId="0" borderId="0" xfId="0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2" xfId="0" applyFont="1" applyBorder="1"/>
    <xf numFmtId="1" fontId="6" fillId="0" borderId="2" xfId="0" applyNumberFormat="1" applyFont="1" applyBorder="1"/>
    <xf numFmtId="0" fontId="6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6" fillId="0" borderId="0" xfId="0" applyFont="1" applyAlignment="1">
      <alignment horizontal="right"/>
    </xf>
    <xf numFmtId="0" fontId="6" fillId="0" borderId="2" xfId="0" applyFont="1" applyFill="1" applyBorder="1"/>
    <xf numFmtId="1" fontId="0" fillId="0" borderId="0" xfId="0" applyNumberFormat="1" applyFont="1" applyBorder="1"/>
    <xf numFmtId="0" fontId="2" fillId="0" borderId="0" xfId="18"/>
    <xf numFmtId="0" fontId="0" fillId="0" borderId="3" xfId="0" applyBorder="1"/>
    <xf numFmtId="1" fontId="0" fillId="0" borderId="0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8" fillId="0" borderId="5" xfId="0" applyFont="1" applyBorder="1"/>
    <xf numFmtId="10" fontId="0" fillId="0" borderId="3" xfId="0" applyNumberFormat="1" applyBorder="1"/>
    <xf numFmtId="10" fontId="7" fillId="0" borderId="3" xfId="0" applyNumberFormat="1" applyFont="1" applyBorder="1"/>
    <xf numFmtId="1" fontId="0" fillId="0" borderId="3" xfId="0" applyNumberFormat="1" applyBorder="1"/>
    <xf numFmtId="1" fontId="0" fillId="0" borderId="4" xfId="0" applyNumberFormat="1" applyBorder="1"/>
    <xf numFmtId="43" fontId="9" fillId="0" borderId="0" xfId="17" applyFont="1" applyAlignment="1">
      <alignment horizontal="center" vertical="center"/>
    </xf>
    <xf numFmtId="0" fontId="0" fillId="0" borderId="3" xfId="0" applyFill="1" applyBorder="1"/>
    <xf numFmtId="10" fontId="10" fillId="0" borderId="3" xfId="0" applyNumberFormat="1" applyFont="1" applyBorder="1"/>
    <xf numFmtId="1" fontId="8" fillId="0" borderId="5" xfId="0" applyNumberFormat="1" applyFont="1" applyBorder="1"/>
    <xf numFmtId="10" fontId="10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10" fontId="0" fillId="4" borderId="0" xfId="0" applyNumberFormat="1" applyFill="1"/>
    <xf numFmtId="1" fontId="11" fillId="4" borderId="6" xfId="0" applyNumberFormat="1" applyFont="1" applyFill="1" applyBorder="1"/>
    <xf numFmtId="1" fontId="0" fillId="4" borderId="6" xfId="0" applyNumberFormat="1" applyFill="1" applyBorder="1"/>
    <xf numFmtId="10" fontId="0" fillId="5" borderId="4" xfId="0" applyNumberFormat="1" applyFill="1" applyBorder="1"/>
    <xf numFmtId="10" fontId="0" fillId="5" borderId="0" xfId="0" applyNumberFormat="1" applyFill="1" applyBorder="1"/>
    <xf numFmtId="10" fontId="0" fillId="5" borderId="7" xfId="0" applyNumberFormat="1" applyFill="1" applyBorder="1"/>
  </cellXfs>
  <cellStyles count="244">
    <cellStyle name="Comma" xfId="17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8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CD212A"/>
      <color rgb="FF21468B"/>
      <color rgb="FFFAC090"/>
    </mru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600" b="0" i="0">
                <a:latin typeface="Helvetica Neue Light"/>
                <a:cs typeface="Helvetica Neue Light"/>
              </a:defRPr>
            </a:pPr>
            <a:r>
              <a:rPr lang="en-US" sz="1600" b="0" i="0">
                <a:latin typeface="Helvetica Neue Light"/>
                <a:cs typeface="Helvetica Neue Light"/>
              </a:rPr>
              <a:t>Average Daily Growth Rate</a:t>
            </a:r>
            <a:r>
              <a:rPr lang="en-US" sz="1600" b="0" i="0" baseline="0">
                <a:latin typeface="Helvetica Neue Light"/>
                <a:cs typeface="Helvetica Neue Light"/>
              </a:rPr>
              <a:t> of Confirmed Cases March 3 - 9</a:t>
            </a:r>
            <a:endParaRPr lang="en-US" sz="1600" b="0" i="0">
              <a:latin typeface="Helvetica Neue Light"/>
              <a:cs typeface="Helvetica Neue Light"/>
            </a:endParaRPr>
          </a:p>
        </c:rich>
      </c:tx>
      <c:layout>
        <c:manualLayout>
          <c:xMode val="edge"/>
          <c:yMode val="edge"/>
          <c:x val="0.324209174940089"/>
          <c:y val="0.0129390018484288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5"/>
          <c:order val="0"/>
          <c:tx>
            <c:strRef>
              <c:f>avg.growth.rate!$G$1</c:f>
              <c:strCache>
                <c:ptCount val="1"/>
                <c:pt idx="0">
                  <c:v>Average Daily Growth Rate between March 2 and March 9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avg.growth.rate!$A$2:$A$38</c:f>
              <c:strCache>
                <c:ptCount val="37"/>
                <c:pt idx="0">
                  <c:v>Diamond Princess</c:v>
                </c:pt>
                <c:pt idx="1">
                  <c:v>China excl. Hubei</c:v>
                </c:pt>
                <c:pt idx="2">
                  <c:v>Hubei, China</c:v>
                </c:pt>
                <c:pt idx="3">
                  <c:v>Taiwan</c:v>
                </c:pt>
                <c:pt idx="4">
                  <c:v>Kuwait</c:v>
                </c:pt>
                <c:pt idx="5">
                  <c:v>Thailand</c:v>
                </c:pt>
                <c:pt idx="6">
                  <c:v>Singapore</c:v>
                </c:pt>
                <c:pt idx="7">
                  <c:v>South Korea</c:v>
                </c:pt>
                <c:pt idx="8">
                  <c:v>Japan</c:v>
                </c:pt>
                <c:pt idx="9">
                  <c:v>Bahrain</c:v>
                </c:pt>
                <c:pt idx="10">
                  <c:v>UAE</c:v>
                </c:pt>
                <c:pt idx="11">
                  <c:v>USA</c:v>
                </c:pt>
                <c:pt idx="12">
                  <c:v>Iraq</c:v>
                </c:pt>
                <c:pt idx="13">
                  <c:v>Lebanon</c:v>
                </c:pt>
                <c:pt idx="14">
                  <c:v>Canada</c:v>
                </c:pt>
                <c:pt idx="15">
                  <c:v>Australia</c:v>
                </c:pt>
                <c:pt idx="16">
                  <c:v>Malaysia</c:v>
                </c:pt>
                <c:pt idx="17">
                  <c:v>San Marino</c:v>
                </c:pt>
                <c:pt idx="18">
                  <c:v>Italy</c:v>
                </c:pt>
                <c:pt idx="19">
                  <c:v>Iran</c:v>
                </c:pt>
                <c:pt idx="20">
                  <c:v>Israel</c:v>
                </c:pt>
                <c:pt idx="21">
                  <c:v>France</c:v>
                </c:pt>
                <c:pt idx="22">
                  <c:v>Austria</c:v>
                </c:pt>
                <c:pt idx="23">
                  <c:v>Germany</c:v>
                </c:pt>
                <c:pt idx="24">
                  <c:v>UK</c:v>
                </c:pt>
                <c:pt idx="25">
                  <c:v>Norway</c:v>
                </c:pt>
                <c:pt idx="26">
                  <c:v>India</c:v>
                </c:pt>
                <c:pt idx="27">
                  <c:v>Switzerland</c:v>
                </c:pt>
                <c:pt idx="28">
                  <c:v>Spain</c:v>
                </c:pt>
                <c:pt idx="29">
                  <c:v>Iceland</c:v>
                </c:pt>
                <c:pt idx="30">
                  <c:v>Greece</c:v>
                </c:pt>
                <c:pt idx="31">
                  <c:v>Sweden</c:v>
                </c:pt>
                <c:pt idx="32">
                  <c:v>The Netherlands</c:v>
                </c:pt>
                <c:pt idx="33">
                  <c:v>Denmark</c:v>
                </c:pt>
                <c:pt idx="34">
                  <c:v>Belgium</c:v>
                </c:pt>
                <c:pt idx="35">
                  <c:v>5% growth rate (Pueyo cutoff)</c:v>
                </c:pt>
                <c:pt idx="36">
                  <c:v>Countries beyond this threshold double cases every 2 days</c:v>
                </c:pt>
              </c:strCache>
            </c:strRef>
          </c:cat>
          <c:val>
            <c:numRef>
              <c:f>avg.growth.rate!$G$2:$G$36</c:f>
              <c:numCache>
                <c:formatCode>0.00%</c:formatCode>
                <c:ptCount val="35"/>
                <c:pt idx="0">
                  <c:v>-0.00183376551912107</c:v>
                </c:pt>
                <c:pt idx="1">
                  <c:v>0.000918206477186656</c:v>
                </c:pt>
                <c:pt idx="2">
                  <c:v>0.00135697428919057</c:v>
                </c:pt>
                <c:pt idx="3">
                  <c:v>0.0133874519631996</c:v>
                </c:pt>
                <c:pt idx="4">
                  <c:v>0.0192590209271797</c:v>
                </c:pt>
                <c:pt idx="5">
                  <c:v>0.0217799210000151</c:v>
                </c:pt>
                <c:pt idx="6">
                  <c:v>0.0480477548069631</c:v>
                </c:pt>
                <c:pt idx="7">
                  <c:v>0.0810058676411354</c:v>
                </c:pt>
                <c:pt idx="8">
                  <c:v>0.0931183657321537</c:v>
                </c:pt>
                <c:pt idx="9">
                  <c:v>0.0991965604654152</c:v>
                </c:pt>
                <c:pt idx="10">
                  <c:v>0.115025361387496</c:v>
                </c:pt>
                <c:pt idx="11">
                  <c:v>0.116809695400058</c:v>
                </c:pt>
                <c:pt idx="12">
                  <c:v>0.126892679096592</c:v>
                </c:pt>
                <c:pt idx="13">
                  <c:v>0.137330434535774</c:v>
                </c:pt>
                <c:pt idx="14">
                  <c:v>0.161497120023016</c:v>
                </c:pt>
                <c:pt idx="15">
                  <c:v>0.171779063126684</c:v>
                </c:pt>
                <c:pt idx="16">
                  <c:v>0.220509385481471</c:v>
                </c:pt>
                <c:pt idx="17">
                  <c:v>0.239698493365617</c:v>
                </c:pt>
                <c:pt idx="18">
                  <c:v>0.239891701179002</c:v>
                </c:pt>
                <c:pt idx="19">
                  <c:v>0.250091650533694</c:v>
                </c:pt>
                <c:pt idx="20">
                  <c:v>0.294762094302589</c:v>
                </c:pt>
                <c:pt idx="21">
                  <c:v>0.302082387973069</c:v>
                </c:pt>
                <c:pt idx="22">
                  <c:v>0.327830635390012</c:v>
                </c:pt>
                <c:pt idx="23">
                  <c:v>0.33089659489019</c:v>
                </c:pt>
                <c:pt idx="24">
                  <c:v>0.347098682801217</c:v>
                </c:pt>
                <c:pt idx="25">
                  <c:v>0.350656260831525</c:v>
                </c:pt>
                <c:pt idx="26">
                  <c:v>0.359877470496033</c:v>
                </c:pt>
                <c:pt idx="27">
                  <c:v>0.366659517815269</c:v>
                </c:pt>
                <c:pt idx="28">
                  <c:v>0.367467221935665</c:v>
                </c:pt>
                <c:pt idx="29">
                  <c:v>0.382782327506393</c:v>
                </c:pt>
                <c:pt idx="30">
                  <c:v>0.397850379150812</c:v>
                </c:pt>
                <c:pt idx="31">
                  <c:v>0.492971401893749</c:v>
                </c:pt>
                <c:pt idx="32">
                  <c:v>0.509202458160599</c:v>
                </c:pt>
                <c:pt idx="33">
                  <c:v>0.56506560796024</c:v>
                </c:pt>
                <c:pt idx="34">
                  <c:v>0.624644233541963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105187800"/>
        <c:axId val="2105191096"/>
      </c:barChart>
      <c:scatterChart>
        <c:scatterStyle val="lineMarker"/>
        <c:varyColors val="0"/>
        <c:ser>
          <c:idx val="0"/>
          <c:order val="1"/>
          <c:tx>
            <c:strRef>
              <c:f>avg.growth.rate!$A$37</c:f>
              <c:strCache>
                <c:ptCount val="1"/>
                <c:pt idx="0">
                  <c:v>5% growth rate (Pueyo cutoff)</c:v>
                </c:pt>
              </c:strCache>
            </c:strRef>
          </c:tx>
          <c:spPr>
            <a:ln w="12700" cap="sq">
              <a:solidFill>
                <a:schemeClr val="accent2">
                  <a:lumMod val="75000"/>
                </a:schemeClr>
              </a:solidFill>
              <a:prstDash val="dash"/>
            </a:ln>
          </c:spPr>
          <c:marker>
            <c:symbol val="none"/>
          </c:marker>
          <c:dPt>
            <c:idx val="1"/>
            <c:bubble3D val="0"/>
          </c:dPt>
          <c:dLbls>
            <c:dLbl>
              <c:idx val="0"/>
              <c:layout>
                <c:manualLayout>
                  <c:x val="-0.00603286545703526"/>
                  <c:y val="-0.11090569323995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5% growth rate (Pueyo's cutoff)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spPr>
              <a:solidFill>
                <a:schemeClr val="bg1">
                  <a:alpha val="75000"/>
                </a:schemeClr>
              </a:solidFill>
            </c:spPr>
            <c:txPr>
              <a:bodyPr/>
              <a:lstStyle/>
              <a:p>
                <a:pPr algn="l">
                  <a:defRPr sz="1200" b="0" i="0">
                    <a:solidFill>
                      <a:srgbClr val="800000"/>
                    </a:solidFill>
                    <a:latin typeface="Helvetica Neue Light"/>
                    <a:cs typeface="Helvetica Neue Light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avg.growth.rate!$I$37:$I$38</c:f>
              <c:numCache>
                <c:formatCode>General</c:formatCode>
                <c:ptCount val="2"/>
                <c:pt idx="0">
                  <c:v>0.05</c:v>
                </c:pt>
                <c:pt idx="1">
                  <c:v>0.05</c:v>
                </c:pt>
              </c:numCache>
            </c:numRef>
          </c:xVal>
          <c:yVal>
            <c:numRef>
              <c:f>avg.growth.rate!$H$37:$H$38</c:f>
              <c:numCache>
                <c:formatCode>General</c:formatCode>
                <c:ptCount val="2"/>
                <c:pt idx="0">
                  <c:v>0.0</c:v>
                </c:pt>
                <c:pt idx="1">
                  <c:v>1.0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avg.growth.rate!$A$38</c:f>
              <c:strCache>
                <c:ptCount val="1"/>
                <c:pt idx="0">
                  <c:v>Countries beyond this threshold double cases every 2 days</c:v>
                </c:pt>
              </c:strCache>
            </c:strRef>
          </c:tx>
          <c:spPr>
            <a:ln w="25400" cap="sq" cmpd="sng">
              <a:prstDash val="dash"/>
              <a:beve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00519044764733128"/>
                  <c:y val="-0.582255374270453"/>
                </c:manualLayout>
              </c:layout>
              <c:tx>
                <c:rich>
                  <a:bodyPr/>
                  <a:lstStyle/>
                  <a:p>
                    <a:pPr algn="l">
                      <a:defRPr sz="1200" b="0" i="0">
                        <a:solidFill>
                          <a:srgbClr val="800000"/>
                        </a:solidFill>
                        <a:latin typeface="Helvetica Neue Light"/>
                        <a:cs typeface="Helvetica Neue Light"/>
                      </a:defRPr>
                    </a:pPr>
                    <a:r>
                      <a:rPr lang="en-US" sz="1200" b="0" i="0">
                        <a:solidFill>
                          <a:srgbClr val="800000"/>
                        </a:solidFill>
                        <a:latin typeface="Helvetica Neue Light"/>
                        <a:cs typeface="Helvetica Neue Light"/>
                      </a:rPr>
                      <a:t>Countries on</a:t>
                    </a:r>
                    <a:r>
                      <a:rPr lang="en-US" sz="1200" b="0" i="0" baseline="0">
                        <a:solidFill>
                          <a:srgbClr val="800000"/>
                        </a:solidFill>
                        <a:latin typeface="Helvetica Neue Light"/>
                        <a:cs typeface="Helvetica Neue Light"/>
                      </a:rPr>
                      <a:t> </a:t>
                    </a:r>
                    <a:r>
                      <a:rPr lang="en-US" sz="1200" b="0" i="0">
                        <a:solidFill>
                          <a:srgbClr val="800000"/>
                        </a:solidFill>
                        <a:latin typeface="Helvetica Neue Light"/>
                        <a:cs typeface="Helvetica Neue Light"/>
                      </a:rPr>
                      <a:t>this threshold double cases every 2 days</a:t>
                    </a:r>
                    <a:endParaRPr lang="en-US">
                      <a:solidFill>
                        <a:srgbClr val="800000"/>
                      </a:solidFill>
                    </a:endParaRPr>
                  </a:p>
                </c:rich>
              </c:tx>
              <c:spPr>
                <a:solidFill>
                  <a:srgbClr val="FFFFFF">
                    <a:alpha val="71000"/>
                  </a:srgbClr>
                </a:solidFill>
              </c:spPr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spPr>
              <a:solidFill>
                <a:srgbClr val="FFFFFF">
                  <a:alpha val="71000"/>
                </a:srgbClr>
              </a:solidFill>
            </c:spPr>
            <c:txPr>
              <a:bodyPr/>
              <a:lstStyle/>
              <a:p>
                <a:pPr>
                  <a:defRPr sz="1200" b="0" i="0">
                    <a:latin typeface="Helvetica Neue Light"/>
                    <a:cs typeface="Helvetica Neue Light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avg.growth.rate!$J$37:$J$38</c:f>
              <c:numCache>
                <c:formatCode>General</c:formatCode>
                <c:ptCount val="2"/>
                <c:pt idx="0">
                  <c:v>0.414213562373095</c:v>
                </c:pt>
                <c:pt idx="1">
                  <c:v>0.414213562373095</c:v>
                </c:pt>
              </c:numCache>
            </c:numRef>
          </c:xVal>
          <c:yVal>
            <c:numRef>
              <c:f>avg.growth.rate!$H$37:$H$38</c:f>
              <c:numCache>
                <c:formatCode>General</c:formatCode>
                <c:ptCount val="2"/>
                <c:pt idx="0">
                  <c:v>0.0</c:v>
                </c:pt>
                <c:pt idx="1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901992"/>
        <c:axId val="2045178840"/>
      </c:scatterChart>
      <c:catAx>
        <c:axId val="2105187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latin typeface="Helvetica Neue Light"/>
              </a:defRPr>
            </a:pPr>
            <a:endParaRPr lang="en-US"/>
          </a:p>
        </c:txPr>
        <c:crossAx val="2105191096"/>
        <c:crosses val="autoZero"/>
        <c:auto val="1"/>
        <c:lblAlgn val="ctr"/>
        <c:lblOffset val="100"/>
        <c:noMultiLvlLbl val="0"/>
      </c:catAx>
      <c:valAx>
        <c:axId val="2105191096"/>
        <c:scaling>
          <c:orientation val="minMax"/>
          <c:max val="1.4"/>
          <c:min val="0.0"/>
        </c:scaling>
        <c:delete val="0"/>
        <c:axPos val="b"/>
        <c:majorGridlines>
          <c:spPr>
            <a:ln w="3175"/>
          </c:spPr>
        </c:majorGridlines>
        <c:numFmt formatCode="0%" sourceLinked="0"/>
        <c:majorTickMark val="none"/>
        <c:minorTickMark val="none"/>
        <c:tickLblPos val="nextTo"/>
        <c:spPr>
          <a:ln w="3175">
            <a:noFill/>
          </a:ln>
        </c:spPr>
        <c:txPr>
          <a:bodyPr/>
          <a:lstStyle/>
          <a:p>
            <a:pPr>
              <a:defRPr sz="1400" b="0" i="0">
                <a:latin typeface="Helvetica Neue Light"/>
                <a:cs typeface="Helvetica Neue Light"/>
              </a:defRPr>
            </a:pPr>
            <a:endParaRPr lang="en-US"/>
          </a:p>
        </c:txPr>
        <c:crossAx val="2105187800"/>
        <c:crosses val="autoZero"/>
        <c:crossBetween val="between"/>
        <c:majorUnit val="0.2"/>
        <c:minorUnit val="0.05"/>
      </c:valAx>
      <c:valAx>
        <c:axId val="2045178840"/>
        <c:scaling>
          <c:orientation val="minMax"/>
          <c:max val="1.0"/>
          <c:min val="0.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crossAx val="2104901992"/>
        <c:crosses val="max"/>
        <c:crossBetween val="midCat"/>
      </c:valAx>
      <c:valAx>
        <c:axId val="2104901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5178840"/>
        <c:crosses val="autoZero"/>
        <c:crossBetween val="midCat"/>
      </c:valAx>
      <c:spPr>
        <a:ln>
          <a:noFill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 paperSize="9" orientation="portrait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b="0"/>
            </a:pPr>
            <a:r>
              <a:rPr lang="en-US" b="0"/>
              <a:t>Forecast of Confirmed COVID-19 Cases per Country, from 7 March 2020</a:t>
            </a:r>
          </a:p>
          <a:p>
            <a:pPr>
              <a:defRPr b="0"/>
            </a:pPr>
            <a:endParaRPr lang="en-US" b="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'1v7.day.growth.rate2'!$A$2:$B$2</c:f>
              <c:strCache>
                <c:ptCount val="1"/>
                <c:pt idx="0">
                  <c:v>Australia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'1v7.day.growth.rate2'!$C$2:$BC$2</c:f>
            </c:numRef>
          </c:val>
          <c:smooth val="0"/>
        </c:ser>
        <c:ser>
          <c:idx val="1"/>
          <c:order val="1"/>
          <c:tx>
            <c:strRef>
              <c:f>'1v7.day.growth.rate2'!$A$3:$B$3</c:f>
              <c:strCache>
                <c:ptCount val="1"/>
                <c:pt idx="0">
                  <c:v>Austria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'1v7.day.growth.rate2'!$C$3:$BC$3</c:f>
            </c:numRef>
          </c:val>
          <c:smooth val="0"/>
        </c:ser>
        <c:ser>
          <c:idx val="2"/>
          <c:order val="2"/>
          <c:tx>
            <c:strRef>
              <c:f>'1v7.day.growth.rate2'!$A$4:$B$4</c:f>
              <c:strCache>
                <c:ptCount val="1"/>
                <c:pt idx="0">
                  <c:v>Bahrain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'1v7.day.growth.rate2'!$C$4:$BC$4</c:f>
            </c:numRef>
          </c:val>
          <c:smooth val="0"/>
        </c:ser>
        <c:ser>
          <c:idx val="3"/>
          <c:order val="3"/>
          <c:tx>
            <c:strRef>
              <c:f>'1v7.day.growth.rate2'!$A$5:$B$5</c:f>
              <c:strCache>
                <c:ptCount val="1"/>
                <c:pt idx="0">
                  <c:v>Belgium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'1v7.day.growth.rate2'!$C$5:$BC$5</c:f>
            </c:numRef>
          </c:val>
          <c:smooth val="0"/>
        </c:ser>
        <c:ser>
          <c:idx val="4"/>
          <c:order val="4"/>
          <c:tx>
            <c:strRef>
              <c:f>'1v7.day.growth.rate2'!$A$6:$B$6</c:f>
              <c:strCache>
                <c:ptCount val="1"/>
                <c:pt idx="0">
                  <c:v>Canada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'1v7.day.growth.rate2'!$C$6:$BC$6</c:f>
            </c:numRef>
          </c:val>
          <c:smooth val="0"/>
        </c:ser>
        <c:ser>
          <c:idx val="5"/>
          <c:order val="5"/>
          <c:tx>
            <c:strRef>
              <c:f>'1v7.day.growth.rate2'!$A$7:$B$7</c:f>
              <c:strCache>
                <c:ptCount val="1"/>
                <c:pt idx="0">
                  <c:v>China total minus Hubei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'1v7.day.growth.rate2'!$C$7:$BC$7</c:f>
            </c:numRef>
          </c:val>
          <c:smooth val="0"/>
        </c:ser>
        <c:ser>
          <c:idx val="6"/>
          <c:order val="6"/>
          <c:tx>
            <c:strRef>
              <c:f>'1v7.day.growth.rate2'!$A$8:$B$8</c:f>
              <c:strCache>
                <c:ptCount val="1"/>
                <c:pt idx="0">
                  <c:v>China, Hubei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'1v7.day.growth.rate2'!$C$8:$BC$8</c:f>
            </c:numRef>
          </c:val>
          <c:smooth val="0"/>
        </c:ser>
        <c:ser>
          <c:idx val="7"/>
          <c:order val="7"/>
          <c:tx>
            <c:strRef>
              <c:f>'1v7.day.growth.rate2'!$A$9:$B$9</c:f>
              <c:strCache>
                <c:ptCount val="1"/>
                <c:pt idx="0">
                  <c:v>Diamond Princess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'1v7.day.growth.rate2'!$C$9:$BC$9</c:f>
            </c:numRef>
          </c:val>
          <c:smooth val="0"/>
        </c:ser>
        <c:ser>
          <c:idx val="8"/>
          <c:order val="8"/>
          <c:tx>
            <c:strRef>
              <c:f>'1v7.day.growth.rate2'!$A$10:$B$10</c:f>
              <c:strCache>
                <c:ptCount val="1"/>
                <c:pt idx="0">
                  <c:v>France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'1v7.day.growth.rate2'!$C$10:$BC$10</c:f>
            </c:numRef>
          </c:val>
          <c:smooth val="0"/>
        </c:ser>
        <c:ser>
          <c:idx val="9"/>
          <c:order val="9"/>
          <c:tx>
            <c:strRef>
              <c:f>'1v7.day.growth.rate2'!$A$11:$B$11</c:f>
              <c:strCache>
                <c:ptCount val="1"/>
                <c:pt idx="0">
                  <c:v>Germany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'1v7.day.growth.rate2'!$C$11:$BC$11</c:f>
            </c:numRef>
          </c:val>
          <c:smooth val="0"/>
        </c:ser>
        <c:ser>
          <c:idx val="10"/>
          <c:order val="10"/>
          <c:tx>
            <c:strRef>
              <c:f>'1v7.day.growth.rate2'!$A$12:$B$12</c:f>
              <c:strCache>
                <c:ptCount val="1"/>
                <c:pt idx="0">
                  <c:v>Greece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'1v7.day.growth.rate2'!$C$12:$BC$12</c:f>
            </c:numRef>
          </c:val>
          <c:smooth val="0"/>
        </c:ser>
        <c:ser>
          <c:idx val="11"/>
          <c:order val="11"/>
          <c:tx>
            <c:strRef>
              <c:f>'1v7.day.growth.rate2'!$A$13:$B$13</c:f>
              <c:strCache>
                <c:ptCount val="1"/>
                <c:pt idx="0">
                  <c:v>Iceland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'1v7.day.growth.rate2'!$C$13:$BC$13</c:f>
            </c:numRef>
          </c:val>
          <c:smooth val="0"/>
        </c:ser>
        <c:ser>
          <c:idx val="12"/>
          <c:order val="12"/>
          <c:tx>
            <c:strRef>
              <c:f>'1v7.day.growth.rate2'!$A$14:$B$14</c:f>
              <c:strCache>
                <c:ptCount val="1"/>
                <c:pt idx="0">
                  <c:v>India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'1v7.day.growth.rate2'!$C$14:$BC$14</c:f>
            </c:numRef>
          </c:val>
          <c:smooth val="0"/>
        </c:ser>
        <c:ser>
          <c:idx val="13"/>
          <c:order val="13"/>
          <c:tx>
            <c:strRef>
              <c:f>'1v7.day.growth.rate2'!$A$15:$B$15</c:f>
              <c:strCache>
                <c:ptCount val="1"/>
                <c:pt idx="0">
                  <c:v>Iran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'1v7.day.growth.rate2'!$C$15:$BC$15</c:f>
            </c:numRef>
          </c:val>
          <c:smooth val="0"/>
        </c:ser>
        <c:ser>
          <c:idx val="14"/>
          <c:order val="14"/>
          <c:tx>
            <c:strRef>
              <c:f>'1v7.day.growth.rate2'!$A$16:$B$16</c:f>
              <c:strCache>
                <c:ptCount val="1"/>
                <c:pt idx="0">
                  <c:v>Iraq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'1v7.day.growth.rate2'!$C$16:$BC$16</c:f>
            </c:numRef>
          </c:val>
          <c:smooth val="0"/>
        </c:ser>
        <c:ser>
          <c:idx val="15"/>
          <c:order val="15"/>
          <c:tx>
            <c:strRef>
              <c:f>'1v7.day.growth.rate2'!$A$17:$B$17</c:f>
              <c:strCache>
                <c:ptCount val="1"/>
                <c:pt idx="0">
                  <c:v>Italy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'1v7.day.growth.rate2'!$C$17:$BC$17</c:f>
            </c:numRef>
          </c:val>
          <c:smooth val="0"/>
        </c:ser>
        <c:ser>
          <c:idx val="16"/>
          <c:order val="16"/>
          <c:tx>
            <c:strRef>
              <c:f>'1v7.day.growth.rate2'!$A$18:$B$18</c:f>
              <c:strCache>
                <c:ptCount val="1"/>
                <c:pt idx="0">
                  <c:v>Japan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'1v7.day.growth.rate2'!$C$18:$BC$18</c:f>
            </c:numRef>
          </c:val>
          <c:smooth val="0"/>
        </c:ser>
        <c:ser>
          <c:idx val="17"/>
          <c:order val="17"/>
          <c:tx>
            <c:strRef>
              <c:f>'1v7.day.growth.rate2'!$A$19:$B$19</c:f>
              <c:strCache>
                <c:ptCount val="1"/>
                <c:pt idx="0">
                  <c:v>Korea, South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'1v7.day.growth.rate2'!$C$19:$BC$19</c:f>
            </c:numRef>
          </c:val>
          <c:smooth val="0"/>
        </c:ser>
        <c:ser>
          <c:idx val="18"/>
          <c:order val="18"/>
          <c:tx>
            <c:strRef>
              <c:f>'1v7.day.growth.rate2'!$A$20:$B$20</c:f>
              <c:strCache>
                <c:ptCount val="1"/>
                <c:pt idx="0">
                  <c:v>Kuwait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'1v7.day.growth.rate2'!$C$20:$BC$20</c:f>
            </c:numRef>
          </c:val>
          <c:smooth val="0"/>
        </c:ser>
        <c:ser>
          <c:idx val="19"/>
          <c:order val="19"/>
          <c:tx>
            <c:strRef>
              <c:f>'1v7.day.growth.rate2'!$A$21:$B$21</c:f>
              <c:strCache>
                <c:ptCount val="1"/>
                <c:pt idx="0">
                  <c:v>Malaysia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'1v7.day.growth.rate2'!$C$21:$BC$21</c:f>
            </c:numRef>
          </c:val>
          <c:smooth val="0"/>
        </c:ser>
        <c:ser>
          <c:idx val="20"/>
          <c:order val="20"/>
          <c:tx>
            <c:strRef>
              <c:f>'1v7.day.growth.rate2'!$A$22:$B$22</c:f>
              <c:strCache>
                <c:ptCount val="1"/>
                <c:pt idx="0">
                  <c:v>Netherlands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'1v7.day.growth.rate2'!$C$22:$BC$22</c:f>
            </c:numRef>
          </c:val>
          <c:smooth val="0"/>
        </c:ser>
        <c:ser>
          <c:idx val="21"/>
          <c:order val="21"/>
          <c:tx>
            <c:strRef>
              <c:f>'1v7.day.growth.rate2'!$A$23:$B$23</c:f>
              <c:strCache>
                <c:ptCount val="1"/>
                <c:pt idx="0">
                  <c:v>Norway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'1v7.day.growth.rate2'!$C$23:$BC$23</c:f>
            </c:numRef>
          </c:val>
          <c:smooth val="0"/>
        </c:ser>
        <c:ser>
          <c:idx val="22"/>
          <c:order val="22"/>
          <c:tx>
            <c:strRef>
              <c:f>'1v7.day.growth.rate2'!$A$24:$B$24</c:f>
              <c:strCache>
                <c:ptCount val="1"/>
                <c:pt idx="0">
                  <c:v>San Marino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'1v7.day.growth.rate2'!$C$24:$BC$24</c:f>
            </c:numRef>
          </c:val>
          <c:smooth val="0"/>
        </c:ser>
        <c:ser>
          <c:idx val="23"/>
          <c:order val="23"/>
          <c:tx>
            <c:strRef>
              <c:f>'1v7.day.growth.rate2'!$A$25:$B$25</c:f>
              <c:strCache>
                <c:ptCount val="1"/>
                <c:pt idx="0">
                  <c:v>Singapore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'1v7.day.growth.rate2'!$C$25:$BC$25</c:f>
            </c:numRef>
          </c:val>
          <c:smooth val="0"/>
        </c:ser>
        <c:ser>
          <c:idx val="24"/>
          <c:order val="24"/>
          <c:tx>
            <c:strRef>
              <c:f>'1v7.day.growth.rate2'!$A$26:$B$26</c:f>
              <c:strCache>
                <c:ptCount val="1"/>
                <c:pt idx="0">
                  <c:v>Spain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'1v7.day.growth.rate2'!$C$26:$BC$26</c:f>
            </c:numRef>
          </c:val>
          <c:smooth val="0"/>
        </c:ser>
        <c:ser>
          <c:idx val="25"/>
          <c:order val="25"/>
          <c:tx>
            <c:strRef>
              <c:f>'1v7.day.growth.rate2'!$A$27:$B$27</c:f>
              <c:strCache>
                <c:ptCount val="1"/>
                <c:pt idx="0">
                  <c:v>Sweden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'1v7.day.growth.rate2'!$C$27:$BC$27</c:f>
            </c:numRef>
          </c:val>
          <c:smooth val="0"/>
        </c:ser>
        <c:ser>
          <c:idx val="26"/>
          <c:order val="26"/>
          <c:tx>
            <c:strRef>
              <c:f>'1v7.day.growth.rate2'!$A$28:$B$28</c:f>
              <c:strCache>
                <c:ptCount val="1"/>
                <c:pt idx="0">
                  <c:v>Switzerland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'1v7.day.growth.rate2'!$C$28:$BC$28</c:f>
            </c:numRef>
          </c:val>
          <c:smooth val="0"/>
        </c:ser>
        <c:ser>
          <c:idx val="27"/>
          <c:order val="27"/>
          <c:tx>
            <c:strRef>
              <c:f>'1v7.day.growth.rate2'!$A$29:$B$29</c:f>
              <c:strCache>
                <c:ptCount val="1"/>
                <c:pt idx="0">
                  <c:v>Taiwan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'1v7.day.growth.rate2'!$C$29:$BC$29</c:f>
            </c:numRef>
          </c:val>
          <c:smooth val="0"/>
        </c:ser>
        <c:ser>
          <c:idx val="28"/>
          <c:order val="28"/>
          <c:tx>
            <c:strRef>
              <c:f>'1v7.day.growth.rate2'!$A$30:$B$30</c:f>
              <c:strCache>
                <c:ptCount val="1"/>
                <c:pt idx="0">
                  <c:v>Thailand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'1v7.day.growth.rate2'!$C$30:$BC$30</c:f>
            </c:numRef>
          </c:val>
          <c:smooth val="0"/>
        </c:ser>
        <c:ser>
          <c:idx val="29"/>
          <c:order val="29"/>
          <c:tx>
            <c:strRef>
              <c:f>'1v7.day.growth.rate2'!$A$31:$B$31</c:f>
              <c:strCache>
                <c:ptCount val="1"/>
                <c:pt idx="0">
                  <c:v>UK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'1v7.day.growth.rate2'!$C$31:$BC$31</c:f>
              <c:numCache>
                <c:formatCode>General</c:formatCode>
                <c:ptCount val="29"/>
                <c:pt idx="0">
                  <c:v>9.0</c:v>
                </c:pt>
                <c:pt idx="1">
                  <c:v>9.0</c:v>
                </c:pt>
                <c:pt idx="2">
                  <c:v>9.0</c:v>
                </c:pt>
                <c:pt idx="3">
                  <c:v>9.0</c:v>
                </c:pt>
                <c:pt idx="4">
                  <c:v>9.0</c:v>
                </c:pt>
                <c:pt idx="5">
                  <c:v>9.0</c:v>
                </c:pt>
                <c:pt idx="6">
                  <c:v>9.0</c:v>
                </c:pt>
                <c:pt idx="7">
                  <c:v>9.0</c:v>
                </c:pt>
                <c:pt idx="8">
                  <c:v>9.0</c:v>
                </c:pt>
                <c:pt idx="9">
                  <c:v>13.0</c:v>
                </c:pt>
                <c:pt idx="10">
                  <c:v>13.0</c:v>
                </c:pt>
                <c:pt idx="11">
                  <c:v>13.0</c:v>
                </c:pt>
                <c:pt idx="12">
                  <c:v>15.0</c:v>
                </c:pt>
                <c:pt idx="13">
                  <c:v>20.0</c:v>
                </c:pt>
                <c:pt idx="14">
                  <c:v>23.0</c:v>
                </c:pt>
                <c:pt idx="15">
                  <c:v>36.0</c:v>
                </c:pt>
                <c:pt idx="16">
                  <c:v>40.0</c:v>
                </c:pt>
                <c:pt idx="17">
                  <c:v>51.0</c:v>
                </c:pt>
                <c:pt idx="18">
                  <c:v>86.0</c:v>
                </c:pt>
                <c:pt idx="19">
                  <c:v>116.0</c:v>
                </c:pt>
                <c:pt idx="20">
                  <c:v>164.0</c:v>
                </c:pt>
                <c:pt idx="21">
                  <c:v>207.0</c:v>
                </c:pt>
                <c:pt idx="22">
                  <c:v>274.0</c:v>
                </c:pt>
                <c:pt idx="23">
                  <c:v>322.0</c:v>
                </c:pt>
                <c:pt idx="24">
                  <c:v>384.0</c:v>
                </c:pt>
                <c:pt idx="25">
                  <c:v>459.0</c:v>
                </c:pt>
                <c:pt idx="26">
                  <c:v>459.0</c:v>
                </c:pt>
                <c:pt idx="27">
                  <c:v>801.0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'1v7.day.growth.rate2'!$A$32:$B$32</c:f>
              <c:strCache>
                <c:ptCount val="1"/>
                <c:pt idx="0">
                  <c:v>UAE true cases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'1v7.day.growth.rate2'!$C$32:$BC$32</c:f>
            </c:numRef>
          </c:val>
          <c:smooth val="0"/>
        </c:ser>
        <c:ser>
          <c:idx val="31"/>
          <c:order val="31"/>
          <c:tx>
            <c:strRef>
              <c:f>'1v7.day.growth.rate2'!$A$33:$B$33</c:f>
              <c:strCache>
                <c:ptCount val="1"/>
                <c:pt idx="0">
                  <c:v>US true cases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'1v7.day.growth.rate2'!$C$33:$BC$33</c:f>
            </c:numRef>
          </c:val>
          <c:smooth val="0"/>
        </c:ser>
        <c:ser>
          <c:idx val="32"/>
          <c:order val="32"/>
          <c:tx>
            <c:strRef>
              <c:f>'1v7.day.growth.rate2'!$A$34:$B$34</c:f>
              <c:strCache>
                <c:ptCount val="1"/>
                <c:pt idx="0">
                  <c:v>Australia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'1v7.day.growth.rate2'!$C$34:$BC$34</c:f>
            </c:numRef>
          </c:val>
          <c:smooth val="0"/>
        </c:ser>
        <c:ser>
          <c:idx val="33"/>
          <c:order val="33"/>
          <c:tx>
            <c:strRef>
              <c:f>'1v7.day.growth.rate2'!$A$35:$B$35</c:f>
              <c:strCache>
                <c:ptCount val="1"/>
                <c:pt idx="0">
                  <c:v>Austria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'1v7.day.growth.rate2'!$C$35:$BC$35</c:f>
            </c:numRef>
          </c:val>
          <c:smooth val="0"/>
        </c:ser>
        <c:ser>
          <c:idx val="34"/>
          <c:order val="34"/>
          <c:tx>
            <c:strRef>
              <c:f>'1v7.day.growth.rate2'!$A$36:$B$36</c:f>
              <c:strCache>
                <c:ptCount val="1"/>
                <c:pt idx="0">
                  <c:v>Bahrain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'1v7.day.growth.rate2'!$C$36:$BC$36</c:f>
            </c:numRef>
          </c:val>
          <c:smooth val="0"/>
        </c:ser>
        <c:ser>
          <c:idx val="35"/>
          <c:order val="35"/>
          <c:tx>
            <c:strRef>
              <c:f>'1v7.day.growth.rate2'!$A$37:$B$37</c:f>
              <c:strCache>
                <c:ptCount val="1"/>
                <c:pt idx="0">
                  <c:v>Belgium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'1v7.day.growth.rate2'!$C$37:$BC$37</c:f>
            </c:numRef>
          </c:val>
          <c:smooth val="0"/>
        </c:ser>
        <c:ser>
          <c:idx val="36"/>
          <c:order val="36"/>
          <c:tx>
            <c:strRef>
              <c:f>'1v7.day.growth.rate2'!$A$38:$B$38</c:f>
              <c:strCache>
                <c:ptCount val="1"/>
                <c:pt idx="0">
                  <c:v>Canada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'1v7.day.growth.rate2'!$C$38:$BC$38</c:f>
            </c:numRef>
          </c:val>
          <c:smooth val="0"/>
        </c:ser>
        <c:ser>
          <c:idx val="37"/>
          <c:order val="37"/>
          <c:tx>
            <c:strRef>
              <c:f>'1v7.day.growth.rate2'!$A$39:$B$39</c:f>
              <c:strCache>
                <c:ptCount val="1"/>
                <c:pt idx="0">
                  <c:v>China total minus Hubei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'1v7.day.growth.rate2'!$C$39:$BC$39</c:f>
            </c:numRef>
          </c:val>
          <c:smooth val="0"/>
        </c:ser>
        <c:ser>
          <c:idx val="38"/>
          <c:order val="38"/>
          <c:tx>
            <c:strRef>
              <c:f>'1v7.day.growth.rate2'!$A$40:$B$40</c:f>
              <c:strCache>
                <c:ptCount val="1"/>
                <c:pt idx="0">
                  <c:v>China, Hubei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'1v7.day.growth.rate2'!$C$40:$BC$40</c:f>
            </c:numRef>
          </c:val>
          <c:smooth val="0"/>
        </c:ser>
        <c:ser>
          <c:idx val="39"/>
          <c:order val="39"/>
          <c:tx>
            <c:strRef>
              <c:f>'1v7.day.growth.rate2'!$A$41:$B$41</c:f>
              <c:strCache>
                <c:ptCount val="1"/>
                <c:pt idx="0">
                  <c:v>Diamond Princess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'1v7.day.growth.rate2'!$C$41:$BC$41</c:f>
            </c:numRef>
          </c:val>
          <c:smooth val="0"/>
        </c:ser>
        <c:ser>
          <c:idx val="40"/>
          <c:order val="40"/>
          <c:tx>
            <c:strRef>
              <c:f>'1v7.day.growth.rate2'!$A$42:$B$42</c:f>
              <c:strCache>
                <c:ptCount val="1"/>
                <c:pt idx="0">
                  <c:v>France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'1v7.day.growth.rate2'!$C$42:$BC$42</c:f>
            </c:numRef>
          </c:val>
          <c:smooth val="0"/>
        </c:ser>
        <c:ser>
          <c:idx val="41"/>
          <c:order val="41"/>
          <c:tx>
            <c:strRef>
              <c:f>'1v7.day.growth.rate2'!$A$43:$B$43</c:f>
              <c:strCache>
                <c:ptCount val="1"/>
                <c:pt idx="0">
                  <c:v>Germany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'1v7.day.growth.rate2'!$C$43:$BC$43</c:f>
            </c:numRef>
          </c:val>
          <c:smooth val="0"/>
        </c:ser>
        <c:ser>
          <c:idx val="42"/>
          <c:order val="42"/>
          <c:tx>
            <c:strRef>
              <c:f>'1v7.day.growth.rate2'!$A$44:$B$44</c:f>
              <c:strCache>
                <c:ptCount val="1"/>
                <c:pt idx="0">
                  <c:v>Greece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'1v7.day.growth.rate2'!$C$44:$BC$44</c:f>
            </c:numRef>
          </c:val>
          <c:smooth val="0"/>
        </c:ser>
        <c:ser>
          <c:idx val="43"/>
          <c:order val="43"/>
          <c:tx>
            <c:strRef>
              <c:f>'1v7.day.growth.rate2'!$A$45:$B$45</c:f>
              <c:strCache>
                <c:ptCount val="1"/>
                <c:pt idx="0">
                  <c:v>Iceland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'1v7.day.growth.rate2'!$C$45:$BC$45</c:f>
            </c:numRef>
          </c:val>
          <c:smooth val="0"/>
        </c:ser>
        <c:ser>
          <c:idx val="44"/>
          <c:order val="44"/>
          <c:tx>
            <c:strRef>
              <c:f>'1v7.day.growth.rate2'!$A$46:$B$46</c:f>
              <c:strCache>
                <c:ptCount val="1"/>
                <c:pt idx="0">
                  <c:v>India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'1v7.day.growth.rate2'!$C$46:$BC$46</c:f>
            </c:numRef>
          </c:val>
          <c:smooth val="0"/>
        </c:ser>
        <c:ser>
          <c:idx val="45"/>
          <c:order val="45"/>
          <c:tx>
            <c:strRef>
              <c:f>'1v7.day.growth.rate2'!$A$47:$B$47</c:f>
              <c:strCache>
                <c:ptCount val="1"/>
                <c:pt idx="0">
                  <c:v>Iran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'1v7.day.growth.rate2'!$C$47:$BC$47</c:f>
            </c:numRef>
          </c:val>
          <c:smooth val="0"/>
        </c:ser>
        <c:ser>
          <c:idx val="46"/>
          <c:order val="46"/>
          <c:tx>
            <c:strRef>
              <c:f>'1v7.day.growth.rate2'!$A$48:$B$48</c:f>
              <c:strCache>
                <c:ptCount val="1"/>
                <c:pt idx="0">
                  <c:v>Iraq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'1v7.day.growth.rate2'!$C$48:$BC$48</c:f>
            </c:numRef>
          </c:val>
          <c:smooth val="0"/>
        </c:ser>
        <c:ser>
          <c:idx val="47"/>
          <c:order val="47"/>
          <c:tx>
            <c:strRef>
              <c:f>'1v7.day.growth.rate2'!$A$49:$B$49</c:f>
              <c:strCache>
                <c:ptCount val="1"/>
                <c:pt idx="0">
                  <c:v>Italy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'1v7.day.growth.rate2'!$C$49:$BC$49</c:f>
            </c:numRef>
          </c:val>
          <c:smooth val="0"/>
        </c:ser>
        <c:ser>
          <c:idx val="48"/>
          <c:order val="48"/>
          <c:tx>
            <c:strRef>
              <c:f>'1v7.day.growth.rate2'!$A$50:$B$50</c:f>
              <c:strCache>
                <c:ptCount val="1"/>
                <c:pt idx="0">
                  <c:v>Japan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'1v7.day.growth.rate2'!$C$50:$BC$50</c:f>
            </c:numRef>
          </c:val>
          <c:smooth val="0"/>
        </c:ser>
        <c:ser>
          <c:idx val="49"/>
          <c:order val="49"/>
          <c:tx>
            <c:strRef>
              <c:f>'1v7.day.growth.rate2'!$A$51:$B$51</c:f>
              <c:strCache>
                <c:ptCount val="1"/>
                <c:pt idx="0">
                  <c:v>Korea, South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'1v7.day.growth.rate2'!$C$51:$BC$51</c:f>
            </c:numRef>
          </c:val>
          <c:smooth val="0"/>
        </c:ser>
        <c:ser>
          <c:idx val="50"/>
          <c:order val="50"/>
          <c:tx>
            <c:strRef>
              <c:f>'1v7.day.growth.rate2'!$A$52:$B$52</c:f>
              <c:strCache>
                <c:ptCount val="1"/>
                <c:pt idx="0">
                  <c:v>Kuwait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'1v7.day.growth.rate2'!$C$52:$BC$52</c:f>
            </c:numRef>
          </c:val>
          <c:smooth val="0"/>
        </c:ser>
        <c:ser>
          <c:idx val="51"/>
          <c:order val="51"/>
          <c:tx>
            <c:strRef>
              <c:f>'1v7.day.growth.rate2'!$A$53:$B$53</c:f>
              <c:strCache>
                <c:ptCount val="1"/>
                <c:pt idx="0">
                  <c:v>Malaysia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'1v7.day.growth.rate2'!$C$53:$BC$53</c:f>
            </c:numRef>
          </c:val>
          <c:smooth val="0"/>
        </c:ser>
        <c:ser>
          <c:idx val="52"/>
          <c:order val="52"/>
          <c:tx>
            <c:strRef>
              <c:f>'1v7.day.growth.rate2'!$A$54:$B$54</c:f>
              <c:strCache>
                <c:ptCount val="1"/>
                <c:pt idx="0">
                  <c:v>Netherlands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'1v7.day.growth.rate2'!$C$54:$BC$54</c:f>
            </c:numRef>
          </c:val>
          <c:smooth val="0"/>
        </c:ser>
        <c:ser>
          <c:idx val="53"/>
          <c:order val="53"/>
          <c:tx>
            <c:strRef>
              <c:f>'1v7.day.growth.rate2'!$A$55:$B$55</c:f>
              <c:strCache>
                <c:ptCount val="1"/>
                <c:pt idx="0">
                  <c:v>Norway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'1v7.day.growth.rate2'!$C$55:$BC$55</c:f>
            </c:numRef>
          </c:val>
          <c:smooth val="0"/>
        </c:ser>
        <c:ser>
          <c:idx val="54"/>
          <c:order val="54"/>
          <c:tx>
            <c:strRef>
              <c:f>'1v7.day.growth.rate2'!$A$56:$B$56</c:f>
              <c:strCache>
                <c:ptCount val="1"/>
                <c:pt idx="0">
                  <c:v>San Marino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'1v7.day.growth.rate2'!$C$56:$BC$56</c:f>
            </c:numRef>
          </c:val>
          <c:smooth val="0"/>
        </c:ser>
        <c:ser>
          <c:idx val="55"/>
          <c:order val="55"/>
          <c:tx>
            <c:strRef>
              <c:f>'1v7.day.growth.rate2'!$A$57:$B$57</c:f>
              <c:strCache>
                <c:ptCount val="1"/>
                <c:pt idx="0">
                  <c:v>Singapore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'1v7.day.growth.rate2'!$C$57:$BC$57</c:f>
            </c:numRef>
          </c:val>
          <c:smooth val="0"/>
        </c:ser>
        <c:ser>
          <c:idx val="56"/>
          <c:order val="56"/>
          <c:tx>
            <c:strRef>
              <c:f>'1v7.day.growth.rate2'!$A$58:$B$58</c:f>
              <c:strCache>
                <c:ptCount val="1"/>
                <c:pt idx="0">
                  <c:v>Spain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'1v7.day.growth.rate2'!$C$58:$BC$58</c:f>
            </c:numRef>
          </c:val>
          <c:smooth val="0"/>
        </c:ser>
        <c:ser>
          <c:idx val="57"/>
          <c:order val="57"/>
          <c:tx>
            <c:strRef>
              <c:f>'1v7.day.growth.rate2'!$A$59:$B$59</c:f>
              <c:strCache>
                <c:ptCount val="1"/>
                <c:pt idx="0">
                  <c:v>Sweden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'1v7.day.growth.rate2'!$C$59:$BC$59</c:f>
            </c:numRef>
          </c:val>
          <c:smooth val="0"/>
        </c:ser>
        <c:ser>
          <c:idx val="58"/>
          <c:order val="58"/>
          <c:tx>
            <c:strRef>
              <c:f>'1v7.day.growth.rate2'!$A$60:$B$60</c:f>
              <c:strCache>
                <c:ptCount val="1"/>
                <c:pt idx="0">
                  <c:v>Switzerland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'1v7.day.growth.rate2'!$C$60:$BC$60</c:f>
            </c:numRef>
          </c:val>
          <c:smooth val="0"/>
        </c:ser>
        <c:ser>
          <c:idx val="59"/>
          <c:order val="59"/>
          <c:tx>
            <c:strRef>
              <c:f>'1v7.day.growth.rate2'!$A$61:$B$61</c:f>
              <c:strCache>
                <c:ptCount val="1"/>
                <c:pt idx="0">
                  <c:v>Taiwan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'1v7.day.growth.rate2'!$C$61:$BC$61</c:f>
            </c:numRef>
          </c:val>
          <c:smooth val="0"/>
        </c:ser>
        <c:ser>
          <c:idx val="60"/>
          <c:order val="60"/>
          <c:tx>
            <c:strRef>
              <c:f>'1v7.day.growth.rate2'!$A$62:$B$62</c:f>
              <c:strCache>
                <c:ptCount val="1"/>
                <c:pt idx="0">
                  <c:v>Thailand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'1v7.day.growth.rate2'!$C$62:$BC$62</c:f>
            </c:numRef>
          </c:val>
          <c:smooth val="0"/>
        </c:ser>
        <c:ser>
          <c:idx val="61"/>
          <c:order val="61"/>
          <c:tx>
            <c:strRef>
              <c:f>'1v7.day.growth.rate2'!$A$63:$B$63</c:f>
              <c:strCache>
                <c:ptCount val="1"/>
                <c:pt idx="0">
                  <c:v>UK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'1v7.day.growth.rate2'!$C$63:$BC$63</c:f>
              <c:numCache>
                <c:formatCode>General</c:formatCode>
                <c:ptCount val="29"/>
                <c:pt idx="21">
                  <c:v>207.0</c:v>
                </c:pt>
                <c:pt idx="22">
                  <c:v>261.2743902439024</c:v>
                </c:pt>
                <c:pt idx="23">
                  <c:v>329.779260856633</c:v>
                </c:pt>
                <c:pt idx="24">
                  <c:v>416.2457743739209</c:v>
                </c:pt>
                <c:pt idx="25">
                  <c:v>525.383385947571</c:v>
                </c:pt>
                <c:pt idx="26">
                  <c:v>663.1363468972389</c:v>
                </c:pt>
                <c:pt idx="27">
                  <c:v>837.0074622422467</c:v>
                </c:pt>
                <c:pt idx="28">
                  <c:v>1056.466735878933</c:v>
                </c:pt>
              </c:numCache>
            </c:numRef>
          </c:val>
          <c:smooth val="0"/>
        </c:ser>
        <c:ser>
          <c:idx val="62"/>
          <c:order val="62"/>
          <c:tx>
            <c:strRef>
              <c:f>'1v7.day.growth.rate2'!$A$64:$B$64</c:f>
              <c:strCache>
                <c:ptCount val="1"/>
                <c:pt idx="0">
                  <c:v>UAE 1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'1v7.day.growth.rate2'!$C$64:$BC$64</c:f>
            </c:numRef>
          </c:val>
          <c:smooth val="0"/>
        </c:ser>
        <c:ser>
          <c:idx val="63"/>
          <c:order val="63"/>
          <c:tx>
            <c:strRef>
              <c:f>'1v7.day.growth.rate2'!$A$65:$B$65</c:f>
              <c:strCache>
                <c:ptCount val="1"/>
                <c:pt idx="0">
                  <c:v>US 1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'1v7.day.growth.rate2'!$C$65:$BC$65</c:f>
            </c:numRef>
          </c:val>
          <c:smooth val="0"/>
        </c:ser>
        <c:ser>
          <c:idx val="64"/>
          <c:order val="64"/>
          <c:tx>
            <c:strRef>
              <c:f>'1v7.day.growth.rate2'!$A$66:$B$66</c:f>
              <c:strCache>
                <c:ptCount val="1"/>
                <c:pt idx="0">
                  <c:v>Australia 7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'1v7.day.growth.rate2'!$C$66:$BC$66</c:f>
            </c:numRef>
          </c:val>
          <c:smooth val="0"/>
        </c:ser>
        <c:ser>
          <c:idx val="65"/>
          <c:order val="65"/>
          <c:tx>
            <c:strRef>
              <c:f>'1v7.day.growth.rate2'!$A$67:$B$67</c:f>
              <c:strCache>
                <c:ptCount val="1"/>
                <c:pt idx="0">
                  <c:v>Austria 4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'1v7.day.growth.rate2'!$C$67:$BC$67</c:f>
            </c:numRef>
          </c:val>
          <c:smooth val="0"/>
        </c:ser>
        <c:ser>
          <c:idx val="66"/>
          <c:order val="66"/>
          <c:tx>
            <c:strRef>
              <c:f>'1v7.day.growth.rate2'!$A$68:$B$68</c:f>
              <c:strCache>
                <c:ptCount val="1"/>
                <c:pt idx="0">
                  <c:v>Bahrain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'1v7.day.growth.rate2'!$C$68:$BC$68</c:f>
            </c:numRef>
          </c:val>
          <c:smooth val="0"/>
        </c:ser>
        <c:ser>
          <c:idx val="67"/>
          <c:order val="67"/>
          <c:tx>
            <c:strRef>
              <c:f>'1v7.day.growth.rate2'!$A$69:$B$69</c:f>
              <c:strCache>
                <c:ptCount val="1"/>
                <c:pt idx="0">
                  <c:v>Belgium 3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'1v7.day.growth.rate2'!$C$69:$BC$69</c:f>
            </c:numRef>
          </c:val>
          <c:smooth val="0"/>
        </c:ser>
        <c:ser>
          <c:idx val="68"/>
          <c:order val="68"/>
          <c:tx>
            <c:strRef>
              <c:f>'1v7.day.growth.rate2'!$A$70:$B$70</c:f>
              <c:strCache>
                <c:ptCount val="1"/>
                <c:pt idx="0">
                  <c:v>Canada 6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'1v7.day.growth.rate2'!$C$70:$BC$70</c:f>
            </c:numRef>
          </c:val>
          <c:smooth val="0"/>
        </c:ser>
        <c:ser>
          <c:idx val="69"/>
          <c:order val="69"/>
          <c:tx>
            <c:strRef>
              <c:f>'1v7.day.growth.rate2'!$A$71:$B$71</c:f>
              <c:strCache>
                <c:ptCount val="1"/>
                <c:pt idx="0">
                  <c:v>China total minus Hubei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'1v7.day.growth.rate2'!$C$71:$BC$71</c:f>
            </c:numRef>
          </c:val>
          <c:smooth val="0"/>
        </c:ser>
        <c:ser>
          <c:idx val="70"/>
          <c:order val="70"/>
          <c:tx>
            <c:strRef>
              <c:f>'1v7.day.growth.rate2'!$A$72:$B$72</c:f>
              <c:strCache>
                <c:ptCount val="1"/>
                <c:pt idx="0">
                  <c:v>China, Hubei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'1v7.day.growth.rate2'!$C$72:$BC$72</c:f>
            </c:numRef>
          </c:val>
          <c:smooth val="0"/>
        </c:ser>
        <c:ser>
          <c:idx val="71"/>
          <c:order val="71"/>
          <c:tx>
            <c:strRef>
              <c:f>'1v7.day.growth.rate2'!$A$73:$B$73</c:f>
              <c:strCache>
                <c:ptCount val="1"/>
                <c:pt idx="0">
                  <c:v>Diamond Princess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'1v7.day.growth.rate2'!$C$73:$BC$73</c:f>
            </c:numRef>
          </c:val>
          <c:smooth val="0"/>
        </c:ser>
        <c:ser>
          <c:idx val="72"/>
          <c:order val="72"/>
          <c:tx>
            <c:strRef>
              <c:f>'1v7.day.growth.rate2'!$A$74:$B$74</c:f>
              <c:strCache>
                <c:ptCount val="1"/>
                <c:pt idx="0">
                  <c:v>France 7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'1v7.day.growth.rate2'!$C$74:$BC$74</c:f>
            </c:numRef>
          </c:val>
          <c:smooth val="0"/>
        </c:ser>
        <c:ser>
          <c:idx val="73"/>
          <c:order val="73"/>
          <c:tx>
            <c:strRef>
              <c:f>'1v7.day.growth.rate2'!$A$75:$B$75</c:f>
              <c:strCache>
                <c:ptCount val="1"/>
                <c:pt idx="0">
                  <c:v>Germany 7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'1v7.day.growth.rate2'!$C$75:$BC$75</c:f>
            </c:numRef>
          </c:val>
          <c:smooth val="0"/>
        </c:ser>
        <c:ser>
          <c:idx val="74"/>
          <c:order val="74"/>
          <c:tx>
            <c:strRef>
              <c:f>'1v7.day.growth.rate2'!$A$76:$B$76</c:f>
              <c:strCache>
                <c:ptCount val="1"/>
                <c:pt idx="0">
                  <c:v>Greece 2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'1v7.day.growth.rate2'!$C$76:$BC$76</c:f>
            </c:numRef>
          </c:val>
          <c:smooth val="0"/>
        </c:ser>
        <c:ser>
          <c:idx val="75"/>
          <c:order val="75"/>
          <c:tx>
            <c:strRef>
              <c:f>'1v7.day.growth.rate2'!$A$77:$B$77</c:f>
              <c:strCache>
                <c:ptCount val="1"/>
                <c:pt idx="0">
                  <c:v>Iceland 3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'1v7.day.growth.rate2'!$C$77:$BC$77</c:f>
            </c:numRef>
          </c:val>
          <c:smooth val="0"/>
        </c:ser>
        <c:ser>
          <c:idx val="76"/>
          <c:order val="76"/>
          <c:tx>
            <c:strRef>
              <c:f>'1v7.day.growth.rate2'!$A$78:$B$78</c:f>
              <c:strCache>
                <c:ptCount val="1"/>
                <c:pt idx="0">
                  <c:v>India 3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'1v7.day.growth.rate2'!$C$78:$BC$78</c:f>
            </c:numRef>
          </c:val>
          <c:smooth val="0"/>
        </c:ser>
        <c:ser>
          <c:idx val="77"/>
          <c:order val="77"/>
          <c:tx>
            <c:strRef>
              <c:f>'1v7.day.growth.rate2'!$A$79:$B$79</c:f>
              <c:strCache>
                <c:ptCount val="1"/>
                <c:pt idx="0">
                  <c:v>Iran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'1v7.day.growth.rate2'!$C$79:$BC$79</c:f>
            </c:numRef>
          </c:val>
          <c:smooth val="0"/>
        </c:ser>
        <c:ser>
          <c:idx val="78"/>
          <c:order val="78"/>
          <c:tx>
            <c:strRef>
              <c:f>'1v7.day.growth.rate2'!$A$80:$B$80</c:f>
              <c:strCache>
                <c:ptCount val="1"/>
                <c:pt idx="0">
                  <c:v>Iraq 5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'1v7.day.growth.rate2'!$C$80:$BC$80</c:f>
            </c:numRef>
          </c:val>
          <c:smooth val="0"/>
        </c:ser>
        <c:ser>
          <c:idx val="79"/>
          <c:order val="79"/>
          <c:tx>
            <c:strRef>
              <c:f>'1v7.day.growth.rate2'!$A$81:$B$81</c:f>
              <c:strCache>
                <c:ptCount val="1"/>
                <c:pt idx="0">
                  <c:v>Italy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'1v7.day.growth.rate2'!$C$81:$BC$81</c:f>
            </c:numRef>
          </c:val>
          <c:smooth val="0"/>
        </c:ser>
        <c:ser>
          <c:idx val="80"/>
          <c:order val="80"/>
          <c:tx>
            <c:strRef>
              <c:f>'1v7.day.growth.rate2'!$A$82:$B$82</c:f>
              <c:strCache>
                <c:ptCount val="1"/>
                <c:pt idx="0">
                  <c:v>Japan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'1v7.day.growth.rate2'!$C$82:$BC$82</c:f>
            </c:numRef>
          </c:val>
          <c:smooth val="0"/>
        </c:ser>
        <c:ser>
          <c:idx val="81"/>
          <c:order val="81"/>
          <c:tx>
            <c:strRef>
              <c:f>'1v7.day.growth.rate2'!$A$83:$B$83</c:f>
              <c:strCache>
                <c:ptCount val="1"/>
                <c:pt idx="0">
                  <c:v>Korea, South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'1v7.day.growth.rate2'!$C$83:$BC$83</c:f>
            </c:numRef>
          </c:val>
          <c:smooth val="0"/>
        </c:ser>
        <c:ser>
          <c:idx val="82"/>
          <c:order val="82"/>
          <c:tx>
            <c:strRef>
              <c:f>'1v7.day.growth.rate2'!$A$84:$B$84</c:f>
              <c:strCache>
                <c:ptCount val="1"/>
                <c:pt idx="0">
                  <c:v>Kuwait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'1v7.day.growth.rate2'!$C$84:$BC$84</c:f>
            </c:numRef>
          </c:val>
          <c:smooth val="0"/>
        </c:ser>
        <c:ser>
          <c:idx val="83"/>
          <c:order val="83"/>
          <c:tx>
            <c:strRef>
              <c:f>'1v7.day.growth.rate2'!$A$85:$B$85</c:f>
              <c:strCache>
                <c:ptCount val="1"/>
                <c:pt idx="0">
                  <c:v>Malaysia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'1v7.day.growth.rate2'!$C$85:$BC$85</c:f>
            </c:numRef>
          </c:val>
          <c:smooth val="0"/>
        </c:ser>
        <c:ser>
          <c:idx val="84"/>
          <c:order val="84"/>
          <c:tx>
            <c:strRef>
              <c:f>'1v7.day.growth.rate2'!$A$86:$B$86</c:f>
              <c:strCache>
                <c:ptCount val="1"/>
                <c:pt idx="0">
                  <c:v>Netherlands 4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'1v7.day.growth.rate2'!$C$86:$BC$86</c:f>
            </c:numRef>
          </c:val>
          <c:smooth val="0"/>
        </c:ser>
        <c:ser>
          <c:idx val="85"/>
          <c:order val="85"/>
          <c:tx>
            <c:strRef>
              <c:f>'1v7.day.growth.rate2'!$A$87:$B$87</c:f>
              <c:strCache>
                <c:ptCount val="1"/>
                <c:pt idx="0">
                  <c:v>Norway 5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'1v7.day.growth.rate2'!$C$87:$BC$87</c:f>
            </c:numRef>
          </c:val>
          <c:smooth val="0"/>
        </c:ser>
        <c:ser>
          <c:idx val="86"/>
          <c:order val="86"/>
          <c:tx>
            <c:strRef>
              <c:f>'1v7.day.growth.rate2'!$A$88:$B$88</c:f>
              <c:strCache>
                <c:ptCount val="1"/>
                <c:pt idx="0">
                  <c:v>San Marino 2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'1v7.day.growth.rate2'!$C$88:$BC$88</c:f>
            </c:numRef>
          </c:val>
          <c:smooth val="0"/>
        </c:ser>
        <c:ser>
          <c:idx val="87"/>
          <c:order val="87"/>
          <c:tx>
            <c:strRef>
              <c:f>'1v7.day.growth.rate2'!$A$89:$B$89</c:f>
              <c:strCache>
                <c:ptCount val="1"/>
                <c:pt idx="0">
                  <c:v>Singapore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'1v7.day.growth.rate2'!$C$89:$BC$89</c:f>
            </c:numRef>
          </c:val>
          <c:smooth val="0"/>
        </c:ser>
        <c:ser>
          <c:idx val="88"/>
          <c:order val="88"/>
          <c:tx>
            <c:strRef>
              <c:f>'1v7.day.growth.rate2'!$A$90:$B$90</c:f>
              <c:strCache>
                <c:ptCount val="1"/>
                <c:pt idx="0">
                  <c:v>Spain 7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'1v7.day.growth.rate2'!$C$90:$BC$90</c:f>
            </c:numRef>
          </c:val>
          <c:smooth val="0"/>
        </c:ser>
        <c:ser>
          <c:idx val="89"/>
          <c:order val="89"/>
          <c:tx>
            <c:strRef>
              <c:f>'1v7.day.growth.rate2'!$A$91:$B$91</c:f>
              <c:strCache>
                <c:ptCount val="1"/>
                <c:pt idx="0">
                  <c:v>Sweden 2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'1v7.day.growth.rate2'!$C$91:$BC$91</c:f>
            </c:numRef>
          </c:val>
          <c:smooth val="0"/>
        </c:ser>
        <c:ser>
          <c:idx val="90"/>
          <c:order val="90"/>
          <c:tx>
            <c:strRef>
              <c:f>'1v7.day.growth.rate2'!$A$92:$B$92</c:f>
              <c:strCache>
                <c:ptCount val="1"/>
                <c:pt idx="0">
                  <c:v>Switzerland 6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'1v7.day.growth.rate2'!$C$92:$BC$92</c:f>
            </c:numRef>
          </c:val>
          <c:smooth val="0"/>
        </c:ser>
        <c:ser>
          <c:idx val="91"/>
          <c:order val="91"/>
          <c:tx>
            <c:strRef>
              <c:f>'1v7.day.growth.rate2'!$A$93:$B$93</c:f>
              <c:strCache>
                <c:ptCount val="1"/>
                <c:pt idx="0">
                  <c:v>Taiwan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'1v7.day.growth.rate2'!$C$93:$BC$93</c:f>
            </c:numRef>
          </c:val>
          <c:smooth val="0"/>
        </c:ser>
        <c:ser>
          <c:idx val="92"/>
          <c:order val="92"/>
          <c:tx>
            <c:strRef>
              <c:f>'1v7.day.growth.rate2'!$A$94:$B$94</c:f>
              <c:strCache>
                <c:ptCount val="1"/>
                <c:pt idx="0">
                  <c:v>Thailand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'1v7.day.growth.rate2'!$C$94:$BC$94</c:f>
            </c:numRef>
          </c:val>
          <c:smooth val="0"/>
        </c:ser>
        <c:ser>
          <c:idx val="93"/>
          <c:order val="93"/>
          <c:tx>
            <c:strRef>
              <c:f>'1v7.day.growth.rate2'!$A$95:$B$95</c:f>
              <c:strCache>
                <c:ptCount val="1"/>
                <c:pt idx="0">
                  <c:v>UK 7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'1v7.day.growth.rate2'!$C$95:$BC$95</c:f>
              <c:numCache>
                <c:formatCode>General</c:formatCode>
                <c:ptCount val="29"/>
                <c:pt idx="21">
                  <c:v>207.0</c:v>
                </c:pt>
                <c:pt idx="22">
                  <c:v>283.3287880749357</c:v>
                </c:pt>
                <c:pt idx="23">
                  <c:v>387.8029089469172</c:v>
                </c:pt>
                <c:pt idx="24">
                  <c:v>530.8006193423415</c:v>
                </c:pt>
                <c:pt idx="25">
                  <c:v>726.5270347231445</c:v>
                </c:pt>
                <c:pt idx="26">
                  <c:v>994.42523793133</c:v>
                </c:pt>
                <c:pt idx="27">
                  <c:v>1361.10771736335</c:v>
                </c:pt>
                <c:pt idx="28">
                  <c:v>1863.0</c:v>
                </c:pt>
              </c:numCache>
            </c:numRef>
          </c:val>
          <c:smooth val="0"/>
        </c:ser>
        <c:ser>
          <c:idx val="94"/>
          <c:order val="94"/>
          <c:tx>
            <c:strRef>
              <c:f>'1v7.day.growth.rate2'!$A$96:$B$96</c:f>
              <c:strCache>
                <c:ptCount val="1"/>
                <c:pt idx="0">
                  <c:v>UAE 7 day growth</c:v>
                </c:pt>
              </c:strCache>
            </c:strRef>
          </c:tx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'1v7.day.growth.rate2'!$C$96:$BC$96</c:f>
            </c:numRef>
          </c:val>
          <c:smooth val="0"/>
        </c:ser>
        <c:ser>
          <c:idx val="95"/>
          <c:order val="95"/>
          <c:tx>
            <c:strRef>
              <c:f>'1v7.day.growth.rate2'!$A$97:$B$97</c:f>
              <c:strCache>
                <c:ptCount val="1"/>
                <c:pt idx="0">
                  <c:v>US 7 day growth</c:v>
                </c:pt>
              </c:strCache>
            </c:strRef>
          </c:tx>
          <c:marker>
            <c:symbol val="none"/>
          </c:marker>
          <c:cat>
            <c:numRef>
              <c:f>'1v7.day.growth.rate2'!$C$1:$BC$1</c:f>
              <c:numCache>
                <c:formatCode>m/d/yy</c:formatCode>
                <c:ptCount val="29"/>
                <c:pt idx="0">
                  <c:v>43876.0</c:v>
                </c:pt>
                <c:pt idx="1">
                  <c:v>43877.0</c:v>
                </c:pt>
                <c:pt idx="2">
                  <c:v>43878.0</c:v>
                </c:pt>
                <c:pt idx="3">
                  <c:v>43879.0</c:v>
                </c:pt>
                <c:pt idx="4">
                  <c:v>43880.0</c:v>
                </c:pt>
                <c:pt idx="5">
                  <c:v>43881.0</c:v>
                </c:pt>
                <c:pt idx="6">
                  <c:v>43882.0</c:v>
                </c:pt>
                <c:pt idx="7">
                  <c:v>43883.0</c:v>
                </c:pt>
                <c:pt idx="8">
                  <c:v>43884.0</c:v>
                </c:pt>
                <c:pt idx="9">
                  <c:v>43885.0</c:v>
                </c:pt>
                <c:pt idx="10">
                  <c:v>43886.0</c:v>
                </c:pt>
                <c:pt idx="11">
                  <c:v>43887.0</c:v>
                </c:pt>
                <c:pt idx="12">
                  <c:v>43888.0</c:v>
                </c:pt>
                <c:pt idx="13">
                  <c:v>43889.0</c:v>
                </c:pt>
                <c:pt idx="14">
                  <c:v>43890.0</c:v>
                </c:pt>
                <c:pt idx="15">
                  <c:v>43891.0</c:v>
                </c:pt>
                <c:pt idx="16">
                  <c:v>43892.0</c:v>
                </c:pt>
                <c:pt idx="17">
                  <c:v>43893.0</c:v>
                </c:pt>
                <c:pt idx="18">
                  <c:v>43894.0</c:v>
                </c:pt>
                <c:pt idx="19">
                  <c:v>43895.0</c:v>
                </c:pt>
                <c:pt idx="20">
                  <c:v>43896.0</c:v>
                </c:pt>
                <c:pt idx="21">
                  <c:v>43897.0</c:v>
                </c:pt>
                <c:pt idx="22">
                  <c:v>43898.0</c:v>
                </c:pt>
                <c:pt idx="23">
                  <c:v>43899.0</c:v>
                </c:pt>
                <c:pt idx="24">
                  <c:v>43900.0</c:v>
                </c:pt>
                <c:pt idx="25">
                  <c:v>43901.0</c:v>
                </c:pt>
                <c:pt idx="26">
                  <c:v>43902.0</c:v>
                </c:pt>
                <c:pt idx="27">
                  <c:v>43903.0</c:v>
                </c:pt>
                <c:pt idx="28">
                  <c:v>43904.0</c:v>
                </c:pt>
              </c:numCache>
            </c:numRef>
          </c:cat>
          <c:val>
            <c:numRef>
              <c:f>'1v7.day.growth.rate2'!$C$97:$BC$97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454312"/>
        <c:axId val="2107457384"/>
      </c:lineChart>
      <c:dateAx>
        <c:axId val="2107454312"/>
        <c:scaling>
          <c:orientation val="minMax"/>
          <c:min val="43881.0"/>
        </c:scaling>
        <c:delete val="0"/>
        <c:axPos val="b"/>
        <c:numFmt formatCode="dd\ mmm" sourceLinked="0"/>
        <c:majorTickMark val="in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107457384"/>
        <c:crosses val="autoZero"/>
        <c:auto val="1"/>
        <c:lblOffset val="100"/>
        <c:baseTimeUnit val="days"/>
      </c:dateAx>
      <c:valAx>
        <c:axId val="2107457384"/>
        <c:scaling>
          <c:orientation val="minMax"/>
        </c:scaling>
        <c:delete val="0"/>
        <c:axPos val="r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107454312"/>
        <c:crosses val="max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Helvetica Neue"/>
          <a:cs typeface="Helvetica Neue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>
                <a:latin typeface="Helvetica Neue"/>
                <a:cs typeface="Helvetica Neue"/>
              </a:defRPr>
            </a:pPr>
            <a:r>
              <a:rPr lang="en-US" sz="1800" b="0" i="0" baseline="0">
                <a:effectLst/>
                <a:latin typeface="Helvetica Neue Light"/>
                <a:cs typeface="Helvetica Neue Light"/>
              </a:rPr>
              <a:t>Forecast of Confirmed COVID-19 Cases per Country, from 7 March 2020</a:t>
            </a:r>
            <a:endParaRPr lang="en-US" b="0" i="0">
              <a:effectLst/>
              <a:latin typeface="Helvetica Neue Light"/>
              <a:cs typeface="Helvetica Neue Light"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Sheet13!$A$2:$B$2</c:f>
              <c:strCache>
                <c:ptCount val="1"/>
                <c:pt idx="0">
                  <c:v>Australia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Sheet13!$C$2:$Z$2</c:f>
            </c:numRef>
          </c:val>
          <c:smooth val="0"/>
        </c:ser>
        <c:ser>
          <c:idx val="1"/>
          <c:order val="1"/>
          <c:tx>
            <c:strRef>
              <c:f>Sheet13!$A$3:$B$3</c:f>
              <c:strCache>
                <c:ptCount val="1"/>
                <c:pt idx="0">
                  <c:v>Bahrain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Sheet13!$C$3:$Z$3</c:f>
            </c:numRef>
          </c:val>
          <c:smooth val="0"/>
        </c:ser>
        <c:ser>
          <c:idx val="2"/>
          <c:order val="2"/>
          <c:tx>
            <c:strRef>
              <c:f>Sheet13!$A$4:$B$4</c:f>
              <c:strCache>
                <c:ptCount val="1"/>
                <c:pt idx="0">
                  <c:v>Belgium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Sheet13!$C$4:$Z$4</c:f>
            </c:numRef>
          </c:val>
          <c:smooth val="0"/>
        </c:ser>
        <c:ser>
          <c:idx val="3"/>
          <c:order val="3"/>
          <c:tx>
            <c:strRef>
              <c:f>Sheet13!$A$5:$B$5</c:f>
              <c:strCache>
                <c:ptCount val="1"/>
                <c:pt idx="0">
                  <c:v>China minus Hubei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Sheet13!$C$5:$Z$5</c:f>
            </c:numRef>
          </c:val>
          <c:smooth val="0"/>
        </c:ser>
        <c:ser>
          <c:idx val="4"/>
          <c:order val="4"/>
          <c:tx>
            <c:strRef>
              <c:f>Sheet13!$A$6:$B$6</c:f>
              <c:strCache>
                <c:ptCount val="1"/>
                <c:pt idx="0">
                  <c:v>China, Hubei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Sheet13!$C$6:$Z$6</c:f>
            </c:numRef>
          </c:val>
          <c:smooth val="0"/>
        </c:ser>
        <c:ser>
          <c:idx val="5"/>
          <c:order val="5"/>
          <c:tx>
            <c:strRef>
              <c:f>Sheet13!$A$7:$B$7</c:f>
              <c:strCache>
                <c:ptCount val="1"/>
                <c:pt idx="0">
                  <c:v>Diamond Princess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Sheet13!$C$7:$Z$7</c:f>
            </c:numRef>
          </c:val>
          <c:smooth val="0"/>
        </c:ser>
        <c:ser>
          <c:idx val="6"/>
          <c:order val="6"/>
          <c:tx>
            <c:strRef>
              <c:f>Sheet13!$A$8:$B$8</c:f>
              <c:strCache>
                <c:ptCount val="1"/>
                <c:pt idx="0">
                  <c:v>France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Sheet13!$C$8:$Z$8</c:f>
            </c:numRef>
          </c:val>
          <c:smooth val="0"/>
        </c:ser>
        <c:ser>
          <c:idx val="7"/>
          <c:order val="7"/>
          <c:tx>
            <c:strRef>
              <c:f>Sheet13!$A$9:$B$9</c:f>
              <c:strCache>
                <c:ptCount val="1"/>
                <c:pt idx="0">
                  <c:v>Germany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Sheet13!$C$9:$Z$9</c:f>
            </c:numRef>
          </c:val>
          <c:smooth val="0"/>
        </c:ser>
        <c:ser>
          <c:idx val="8"/>
          <c:order val="8"/>
          <c:tx>
            <c:strRef>
              <c:f>Sheet13!$A$10:$B$10</c:f>
              <c:strCache>
                <c:ptCount val="1"/>
                <c:pt idx="0">
                  <c:v>Iran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Sheet13!$C$10:$Z$10</c:f>
            </c:numRef>
          </c:val>
          <c:smooth val="0"/>
        </c:ser>
        <c:ser>
          <c:idx val="9"/>
          <c:order val="9"/>
          <c:tx>
            <c:strRef>
              <c:f>Sheet13!$A$11:$B$11</c:f>
              <c:strCache>
                <c:ptCount val="1"/>
                <c:pt idx="0">
                  <c:v>Italy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Sheet13!$C$11:$Z$11</c:f>
              <c:numCache>
                <c:formatCode>General</c:formatCode>
                <c:ptCount val="24"/>
                <c:pt idx="0">
                  <c:v>3.0</c:v>
                </c:pt>
                <c:pt idx="1">
                  <c:v>20.0</c:v>
                </c:pt>
                <c:pt idx="2">
                  <c:v>62.0</c:v>
                </c:pt>
                <c:pt idx="3">
                  <c:v>155.0</c:v>
                </c:pt>
                <c:pt idx="4">
                  <c:v>229.0</c:v>
                </c:pt>
                <c:pt idx="5">
                  <c:v>322.0</c:v>
                </c:pt>
                <c:pt idx="6">
                  <c:v>453.0</c:v>
                </c:pt>
                <c:pt idx="7">
                  <c:v>655.0</c:v>
                </c:pt>
                <c:pt idx="8">
                  <c:v>888.0</c:v>
                </c:pt>
                <c:pt idx="9">
                  <c:v>1128.0</c:v>
                </c:pt>
                <c:pt idx="10">
                  <c:v>1694.0</c:v>
                </c:pt>
                <c:pt idx="11">
                  <c:v>2036.0</c:v>
                </c:pt>
                <c:pt idx="12">
                  <c:v>2502.0</c:v>
                </c:pt>
                <c:pt idx="13">
                  <c:v>3089.0</c:v>
                </c:pt>
                <c:pt idx="14">
                  <c:v>3858.0</c:v>
                </c:pt>
                <c:pt idx="15">
                  <c:v>4636.0</c:v>
                </c:pt>
                <c:pt idx="16">
                  <c:v>5883.0</c:v>
                </c:pt>
                <c:pt idx="17">
                  <c:v>7375.0</c:v>
                </c:pt>
                <c:pt idx="18">
                  <c:v>9172.0</c:v>
                </c:pt>
                <c:pt idx="19">
                  <c:v>10149.0</c:v>
                </c:pt>
                <c:pt idx="20">
                  <c:v>12462.0</c:v>
                </c:pt>
                <c:pt idx="21">
                  <c:v>12462.0</c:v>
                </c:pt>
                <c:pt idx="22">
                  <c:v>17660.0</c:v>
                </c:pt>
                <c:pt idx="23">
                  <c:v>21157.0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Sheet13!$A$12:$B$12</c:f>
              <c:strCache>
                <c:ptCount val="1"/>
                <c:pt idx="0">
                  <c:v>Japan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Sheet13!$C$12:$Z$12</c:f>
            </c:numRef>
          </c:val>
          <c:smooth val="0"/>
        </c:ser>
        <c:ser>
          <c:idx val="11"/>
          <c:order val="11"/>
          <c:tx>
            <c:strRef>
              <c:f>Sheet13!$A$13:$B$13</c:f>
              <c:strCache>
                <c:ptCount val="1"/>
                <c:pt idx="0">
                  <c:v>Korea, South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Sheet13!$C$13:$Z$13</c:f>
            </c:numRef>
          </c:val>
          <c:smooth val="0"/>
        </c:ser>
        <c:ser>
          <c:idx val="12"/>
          <c:order val="12"/>
          <c:tx>
            <c:strRef>
              <c:f>Sheet13!$A$14:$B$14</c:f>
              <c:strCache>
                <c:ptCount val="1"/>
                <c:pt idx="0">
                  <c:v>Kuwait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Sheet13!$C$14:$Z$14</c:f>
            </c:numRef>
          </c:val>
          <c:smooth val="0"/>
        </c:ser>
        <c:ser>
          <c:idx val="13"/>
          <c:order val="13"/>
          <c:tx>
            <c:strRef>
              <c:f>Sheet13!$A$15:$B$15</c:f>
              <c:strCache>
                <c:ptCount val="1"/>
                <c:pt idx="0">
                  <c:v>Malaysia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Sheet13!$C$15:$Z$15</c:f>
            </c:numRef>
          </c:val>
          <c:smooth val="0"/>
        </c:ser>
        <c:ser>
          <c:idx val="14"/>
          <c:order val="14"/>
          <c:tx>
            <c:strRef>
              <c:f>Sheet13!$A$16:$B$16</c:f>
              <c:strCache>
                <c:ptCount val="1"/>
                <c:pt idx="0">
                  <c:v>Netherlands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Sheet13!$C$16:$Z$16</c:f>
              <c:numCache>
                <c:formatCode>General</c:formatCode>
                <c:ptCount val="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1.0</c:v>
                </c:pt>
                <c:pt idx="9">
                  <c:v>6.0</c:v>
                </c:pt>
                <c:pt idx="10">
                  <c:v>10.0</c:v>
                </c:pt>
                <c:pt idx="11">
                  <c:v>18.0</c:v>
                </c:pt>
                <c:pt idx="12">
                  <c:v>24.0</c:v>
                </c:pt>
                <c:pt idx="13">
                  <c:v>38.0</c:v>
                </c:pt>
                <c:pt idx="14">
                  <c:v>82.0</c:v>
                </c:pt>
                <c:pt idx="15">
                  <c:v>128.0</c:v>
                </c:pt>
                <c:pt idx="16">
                  <c:v>188.0</c:v>
                </c:pt>
                <c:pt idx="17">
                  <c:v>265.0</c:v>
                </c:pt>
                <c:pt idx="18">
                  <c:v>321.0</c:v>
                </c:pt>
                <c:pt idx="19">
                  <c:v>382.0</c:v>
                </c:pt>
                <c:pt idx="20">
                  <c:v>503.0</c:v>
                </c:pt>
                <c:pt idx="21">
                  <c:v>503.0</c:v>
                </c:pt>
                <c:pt idx="22">
                  <c:v>804.0</c:v>
                </c:pt>
                <c:pt idx="23">
                  <c:v>959.0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Sheet13!$A$17:$B$17</c:f>
              <c:strCache>
                <c:ptCount val="1"/>
                <c:pt idx="0">
                  <c:v>Norway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Sheet13!$C$17:$Z$17</c:f>
            </c:numRef>
          </c:val>
          <c:smooth val="0"/>
        </c:ser>
        <c:ser>
          <c:idx val="16"/>
          <c:order val="16"/>
          <c:tx>
            <c:strRef>
              <c:f>Sheet13!$A$18:$B$18</c:f>
              <c:strCache>
                <c:ptCount val="1"/>
                <c:pt idx="0">
                  <c:v>Singapore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Sheet13!$C$18:$Z$18</c:f>
            </c:numRef>
          </c:val>
          <c:smooth val="0"/>
        </c:ser>
        <c:ser>
          <c:idx val="17"/>
          <c:order val="17"/>
          <c:tx>
            <c:strRef>
              <c:f>Sheet13!$A$19:$B$19</c:f>
              <c:strCache>
                <c:ptCount val="1"/>
                <c:pt idx="0">
                  <c:v>Spain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Sheet13!$C$19:$Z$19</c:f>
            </c:numRef>
          </c:val>
          <c:smooth val="0"/>
        </c:ser>
        <c:ser>
          <c:idx val="18"/>
          <c:order val="18"/>
          <c:tx>
            <c:strRef>
              <c:f>Sheet13!$A$20:$B$20</c:f>
              <c:strCache>
                <c:ptCount val="1"/>
                <c:pt idx="0">
                  <c:v>Sweden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Sheet13!$C$20:$Z$20</c:f>
            </c:numRef>
          </c:val>
          <c:smooth val="0"/>
        </c:ser>
        <c:ser>
          <c:idx val="19"/>
          <c:order val="19"/>
          <c:tx>
            <c:strRef>
              <c:f>Sheet13!$A$21:$B$21</c:f>
              <c:strCache>
                <c:ptCount val="1"/>
                <c:pt idx="0">
                  <c:v>Switzerland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Sheet13!$C$21:$Z$21</c:f>
            </c:numRef>
          </c:val>
          <c:smooth val="0"/>
        </c:ser>
        <c:ser>
          <c:idx val="20"/>
          <c:order val="20"/>
          <c:tx>
            <c:strRef>
              <c:f>Sheet13!$A$22:$B$22</c:f>
              <c:strCache>
                <c:ptCount val="1"/>
                <c:pt idx="0">
                  <c:v>UK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Sheet13!$C$22:$Z$22</c:f>
            </c:numRef>
          </c:val>
          <c:smooth val="0"/>
        </c:ser>
        <c:ser>
          <c:idx val="21"/>
          <c:order val="21"/>
          <c:tx>
            <c:strRef>
              <c:f>Sheet13!$A$23:$B$23</c:f>
              <c:strCache>
                <c:ptCount val="1"/>
                <c:pt idx="0">
                  <c:v>USA true cases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Sheet13!$C$23:$Z$23</c:f>
            </c:numRef>
          </c:val>
          <c:smooth val="0"/>
        </c:ser>
        <c:ser>
          <c:idx val="22"/>
          <c:order val="22"/>
          <c:tx>
            <c:strRef>
              <c:f>Sheet13!$A$24:$B$24</c:f>
              <c:strCache>
                <c:ptCount val="1"/>
                <c:pt idx="0">
                  <c:v>Australia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Sheet13!$C$24:$Z$24</c:f>
            </c:numRef>
          </c:val>
          <c:smooth val="0"/>
        </c:ser>
        <c:ser>
          <c:idx val="23"/>
          <c:order val="23"/>
          <c:tx>
            <c:strRef>
              <c:f>Sheet13!$A$25:$B$25</c:f>
              <c:strCache>
                <c:ptCount val="1"/>
                <c:pt idx="0">
                  <c:v>Bahrain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Sheet13!$C$25:$Z$25</c:f>
            </c:numRef>
          </c:val>
          <c:smooth val="0"/>
        </c:ser>
        <c:ser>
          <c:idx val="24"/>
          <c:order val="24"/>
          <c:tx>
            <c:strRef>
              <c:f>Sheet13!$A$26:$B$26</c:f>
              <c:strCache>
                <c:ptCount val="1"/>
                <c:pt idx="0">
                  <c:v>Belgium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Sheet13!$C$26:$Z$26</c:f>
            </c:numRef>
          </c:val>
          <c:smooth val="0"/>
        </c:ser>
        <c:ser>
          <c:idx val="25"/>
          <c:order val="25"/>
          <c:tx>
            <c:strRef>
              <c:f>Sheet13!$A$27:$B$27</c:f>
              <c:strCache>
                <c:ptCount val="1"/>
                <c:pt idx="0">
                  <c:v>China minus Hubei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Sheet13!$C$27:$Z$27</c:f>
            </c:numRef>
          </c:val>
          <c:smooth val="0"/>
        </c:ser>
        <c:ser>
          <c:idx val="26"/>
          <c:order val="26"/>
          <c:tx>
            <c:strRef>
              <c:f>Sheet13!$A$28:$B$28</c:f>
              <c:strCache>
                <c:ptCount val="1"/>
                <c:pt idx="0">
                  <c:v>China, Hubei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Sheet13!$C$28:$Z$28</c:f>
            </c:numRef>
          </c:val>
          <c:smooth val="0"/>
        </c:ser>
        <c:ser>
          <c:idx val="27"/>
          <c:order val="27"/>
          <c:tx>
            <c:strRef>
              <c:f>Sheet13!$A$29:$B$29</c:f>
              <c:strCache>
                <c:ptCount val="1"/>
                <c:pt idx="0">
                  <c:v>Diamond Princess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Sheet13!$C$29:$Z$29</c:f>
            </c:numRef>
          </c:val>
          <c:smooth val="0"/>
        </c:ser>
        <c:ser>
          <c:idx val="28"/>
          <c:order val="28"/>
          <c:tx>
            <c:strRef>
              <c:f>Sheet13!$A$30:$B$30</c:f>
              <c:strCache>
                <c:ptCount val="1"/>
                <c:pt idx="0">
                  <c:v>France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Sheet13!$C$30:$Z$30</c:f>
            </c:numRef>
          </c:val>
          <c:smooth val="0"/>
        </c:ser>
        <c:ser>
          <c:idx val="29"/>
          <c:order val="29"/>
          <c:tx>
            <c:strRef>
              <c:f>Sheet13!$A$31:$B$31</c:f>
              <c:strCache>
                <c:ptCount val="1"/>
                <c:pt idx="0">
                  <c:v>Germany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Sheet13!$C$31:$Z$31</c:f>
            </c:numRef>
          </c:val>
          <c:smooth val="0"/>
        </c:ser>
        <c:ser>
          <c:idx val="30"/>
          <c:order val="30"/>
          <c:tx>
            <c:strRef>
              <c:f>Sheet13!$A$32:$B$32</c:f>
              <c:strCache>
                <c:ptCount val="1"/>
                <c:pt idx="0">
                  <c:v>Iran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Sheet13!$C$32:$Z$32</c:f>
            </c:numRef>
          </c:val>
          <c:smooth val="0"/>
        </c:ser>
        <c:ser>
          <c:idx val="31"/>
          <c:order val="31"/>
          <c:tx>
            <c:strRef>
              <c:f>Sheet13!$A$33:$B$33</c:f>
              <c:strCache>
                <c:ptCount val="1"/>
                <c:pt idx="0">
                  <c:v>Italy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Sheet13!$C$33:$Z$33</c:f>
              <c:numCache>
                <c:formatCode>General</c:formatCode>
                <c:ptCount val="24"/>
                <c:pt idx="17">
                  <c:v>7465.420405522002</c:v>
                </c:pt>
                <c:pt idx="18">
                  <c:v>9473.483228146233</c:v>
                </c:pt>
                <c:pt idx="19">
                  <c:v>12021.67856582923</c:v>
                </c:pt>
                <c:pt idx="20">
                  <c:v>15255.29227842393</c:v>
                </c:pt>
                <c:pt idx="21">
                  <c:v>19358.68948963934</c:v>
                </c:pt>
                <c:pt idx="22">
                  <c:v>24565.82620093793</c:v>
                </c:pt>
                <c:pt idx="23">
                  <c:v>31173.58833911084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Sheet13!$A$34:$B$34</c:f>
              <c:strCache>
                <c:ptCount val="1"/>
                <c:pt idx="0">
                  <c:v>Japan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Sheet13!$C$34:$Z$34</c:f>
            </c:numRef>
          </c:val>
          <c:smooth val="0"/>
        </c:ser>
        <c:ser>
          <c:idx val="33"/>
          <c:order val="33"/>
          <c:tx>
            <c:strRef>
              <c:f>Sheet13!$A$35:$B$35</c:f>
              <c:strCache>
                <c:ptCount val="1"/>
                <c:pt idx="0">
                  <c:v>Korea, South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Sheet13!$C$35:$Z$35</c:f>
            </c:numRef>
          </c:val>
          <c:smooth val="0"/>
        </c:ser>
        <c:ser>
          <c:idx val="34"/>
          <c:order val="34"/>
          <c:tx>
            <c:strRef>
              <c:f>Sheet13!$A$36:$B$36</c:f>
              <c:strCache>
                <c:ptCount val="1"/>
                <c:pt idx="0">
                  <c:v>Kuwait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Sheet13!$C$36:$Z$36</c:f>
            </c:numRef>
          </c:val>
          <c:smooth val="0"/>
        </c:ser>
        <c:ser>
          <c:idx val="35"/>
          <c:order val="35"/>
          <c:tx>
            <c:strRef>
              <c:f>Sheet13!$A$37:$B$37</c:f>
              <c:strCache>
                <c:ptCount val="1"/>
                <c:pt idx="0">
                  <c:v>Malaysia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Sheet13!$C$37:$Z$37</c:f>
            </c:numRef>
          </c:val>
          <c:smooth val="0"/>
        </c:ser>
        <c:ser>
          <c:idx val="36"/>
          <c:order val="36"/>
          <c:tx>
            <c:strRef>
              <c:f>Sheet13!$A$38:$B$38</c:f>
              <c:strCache>
                <c:ptCount val="1"/>
                <c:pt idx="0">
                  <c:v>Netherlands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Sheet13!$C$38:$Z$38</c:f>
              <c:numCache>
                <c:formatCode>General</c:formatCode>
                <c:ptCount val="24"/>
                <c:pt idx="17">
                  <c:v>276.125</c:v>
                </c:pt>
                <c:pt idx="18">
                  <c:v>405.55859375</c:v>
                </c:pt>
                <c:pt idx="19">
                  <c:v>595.6641845703124</c:v>
                </c:pt>
                <c:pt idx="20">
                  <c:v>874.8817710876464</c:v>
                </c:pt>
                <c:pt idx="21">
                  <c:v>1284.982601284981</c:v>
                </c:pt>
                <c:pt idx="22">
                  <c:v>1887.318195637316</c:v>
                </c:pt>
                <c:pt idx="23">
                  <c:v>2771.998599842307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Sheet13!$A$39:$B$39</c:f>
              <c:strCache>
                <c:ptCount val="1"/>
                <c:pt idx="0">
                  <c:v>Norway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Sheet13!$C$39:$Z$39</c:f>
            </c:numRef>
          </c:val>
          <c:smooth val="0"/>
        </c:ser>
        <c:ser>
          <c:idx val="38"/>
          <c:order val="38"/>
          <c:tx>
            <c:strRef>
              <c:f>Sheet13!$A$40:$B$40</c:f>
              <c:strCache>
                <c:ptCount val="1"/>
                <c:pt idx="0">
                  <c:v>Singapore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Sheet13!$C$40:$Z$40</c:f>
            </c:numRef>
          </c:val>
          <c:smooth val="0"/>
        </c:ser>
        <c:ser>
          <c:idx val="39"/>
          <c:order val="39"/>
          <c:tx>
            <c:strRef>
              <c:f>Sheet13!$A$41:$B$41</c:f>
              <c:strCache>
                <c:ptCount val="1"/>
                <c:pt idx="0">
                  <c:v>Spain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Sheet13!$C$41:$Z$41</c:f>
            </c:numRef>
          </c:val>
          <c:smooth val="0"/>
        </c:ser>
        <c:ser>
          <c:idx val="40"/>
          <c:order val="40"/>
          <c:tx>
            <c:strRef>
              <c:f>Sheet13!$A$42:$B$42</c:f>
              <c:strCache>
                <c:ptCount val="1"/>
                <c:pt idx="0">
                  <c:v>Sweden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Sheet13!$C$42:$Z$42</c:f>
            </c:numRef>
          </c:val>
          <c:smooth val="0"/>
        </c:ser>
        <c:ser>
          <c:idx val="41"/>
          <c:order val="41"/>
          <c:tx>
            <c:strRef>
              <c:f>Sheet13!$A$43:$B$43</c:f>
              <c:strCache>
                <c:ptCount val="1"/>
                <c:pt idx="0">
                  <c:v>Switzerland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Sheet13!$C$43:$Z$43</c:f>
            </c:numRef>
          </c:val>
          <c:smooth val="0"/>
        </c:ser>
        <c:ser>
          <c:idx val="42"/>
          <c:order val="42"/>
          <c:tx>
            <c:strRef>
              <c:f>Sheet13!$A$44:$B$44</c:f>
              <c:strCache>
                <c:ptCount val="1"/>
                <c:pt idx="0">
                  <c:v>UK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Sheet13!$C$44:$Z$44</c:f>
            </c:numRef>
          </c:val>
          <c:smooth val="0"/>
        </c:ser>
        <c:ser>
          <c:idx val="43"/>
          <c:order val="43"/>
          <c:tx>
            <c:strRef>
              <c:f>Sheet13!$A$45:$B$45</c:f>
              <c:strCache>
                <c:ptCount val="1"/>
                <c:pt idx="0">
                  <c:v>USA 1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Sheet13!$C$45:$Z$45</c:f>
            </c:numRef>
          </c:val>
          <c:smooth val="0"/>
        </c:ser>
        <c:ser>
          <c:idx val="44"/>
          <c:order val="44"/>
          <c:tx>
            <c:strRef>
              <c:f>Sheet13!$A$46:$B$46</c:f>
              <c:strCache>
                <c:ptCount val="1"/>
                <c:pt idx="0">
                  <c:v>Australia 3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Sheet13!$C$46:$Z$46</c:f>
            </c:numRef>
          </c:val>
          <c:smooth val="0"/>
        </c:ser>
        <c:ser>
          <c:idx val="45"/>
          <c:order val="45"/>
          <c:tx>
            <c:strRef>
              <c:f>Sheet13!$A$47:$B$47</c:f>
              <c:strCache>
                <c:ptCount val="1"/>
                <c:pt idx="0">
                  <c:v>Bahrain 3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Sheet13!$C$47:$Z$47</c:f>
            </c:numRef>
          </c:val>
          <c:smooth val="0"/>
        </c:ser>
        <c:ser>
          <c:idx val="46"/>
          <c:order val="46"/>
          <c:tx>
            <c:strRef>
              <c:f>Sheet13!$A$48:$B$48</c:f>
              <c:strCache>
                <c:ptCount val="1"/>
                <c:pt idx="0">
                  <c:v>Belgium 2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Sheet13!$C$48:$Z$48</c:f>
            </c:numRef>
          </c:val>
          <c:smooth val="0"/>
        </c:ser>
        <c:ser>
          <c:idx val="47"/>
          <c:order val="47"/>
          <c:tx>
            <c:strRef>
              <c:f>Sheet13!$A$49:$B$49</c:f>
              <c:strCache>
                <c:ptCount val="1"/>
                <c:pt idx="0">
                  <c:v>China minus Hubei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Sheet13!$C$49:$Z$49</c:f>
            </c:numRef>
          </c:val>
          <c:smooth val="0"/>
        </c:ser>
        <c:ser>
          <c:idx val="48"/>
          <c:order val="48"/>
          <c:tx>
            <c:strRef>
              <c:f>Sheet13!$A$50:$B$50</c:f>
              <c:strCache>
                <c:ptCount val="1"/>
                <c:pt idx="0">
                  <c:v>China, Hubei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Sheet13!$C$50:$Z$50</c:f>
            </c:numRef>
          </c:val>
          <c:smooth val="0"/>
        </c:ser>
        <c:ser>
          <c:idx val="49"/>
          <c:order val="49"/>
          <c:tx>
            <c:strRef>
              <c:f>Sheet13!$A$51:$B$51</c:f>
              <c:strCache>
                <c:ptCount val="1"/>
                <c:pt idx="0">
                  <c:v>Diamond Princess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Sheet13!$C$51:$Z$51</c:f>
            </c:numRef>
          </c:val>
          <c:smooth val="0"/>
        </c:ser>
        <c:ser>
          <c:idx val="50"/>
          <c:order val="50"/>
          <c:tx>
            <c:strRef>
              <c:f>Sheet13!$A$52:$B$52</c:f>
              <c:strCache>
                <c:ptCount val="1"/>
                <c:pt idx="0">
                  <c:v>France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Sheet13!$C$52:$Z$52</c:f>
            </c:numRef>
          </c:val>
          <c:smooth val="0"/>
        </c:ser>
        <c:ser>
          <c:idx val="51"/>
          <c:order val="51"/>
          <c:tx>
            <c:strRef>
              <c:f>Sheet13!$A$53:$B$53</c:f>
              <c:strCache>
                <c:ptCount val="1"/>
                <c:pt idx="0">
                  <c:v>Germany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Sheet13!$C$53:$Z$53</c:f>
            </c:numRef>
          </c:val>
          <c:smooth val="0"/>
        </c:ser>
        <c:ser>
          <c:idx val="52"/>
          <c:order val="52"/>
          <c:tx>
            <c:strRef>
              <c:f>Sheet13!$A$54:$B$54</c:f>
              <c:strCache>
                <c:ptCount val="1"/>
                <c:pt idx="0">
                  <c:v>Iran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Sheet13!$C$54:$Z$54</c:f>
            </c:numRef>
          </c:val>
          <c:smooth val="0"/>
        </c:ser>
        <c:ser>
          <c:idx val="53"/>
          <c:order val="53"/>
          <c:tx>
            <c:strRef>
              <c:f>Sheet13!$A$55:$B$55</c:f>
              <c:strCache>
                <c:ptCount val="1"/>
                <c:pt idx="0">
                  <c:v>Italy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Sheet13!$C$55:$Z$55</c:f>
              <c:numCache>
                <c:formatCode>General</c:formatCode>
                <c:ptCount val="24"/>
                <c:pt idx="17">
                  <c:v>7448.499835196737</c:v>
                </c:pt>
                <c:pt idx="18">
                  <c:v>9430.588100446339</c:v>
                </c:pt>
                <c:pt idx="19">
                  <c:v>11940.1213516884</c:v>
                </c:pt>
                <c:pt idx="20">
                  <c:v>15117.45570631992</c:v>
                </c:pt>
                <c:pt idx="21">
                  <c:v>19140.29684465713</c:v>
                </c:pt>
                <c:pt idx="22">
                  <c:v>24233.63894153412</c:v>
                </c:pt>
                <c:pt idx="23">
                  <c:v>30682.34840425533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Sheet13!$A$56:$B$56</c:f>
              <c:strCache>
                <c:ptCount val="1"/>
                <c:pt idx="0">
                  <c:v>Japan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Sheet13!$C$56:$Z$56</c:f>
            </c:numRef>
          </c:val>
          <c:smooth val="0"/>
        </c:ser>
        <c:ser>
          <c:idx val="55"/>
          <c:order val="55"/>
          <c:tx>
            <c:strRef>
              <c:f>Sheet13!$A$57:$B$57</c:f>
              <c:strCache>
                <c:ptCount val="1"/>
                <c:pt idx="0">
                  <c:v>Korea, South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Sheet13!$C$57:$Z$57</c:f>
            </c:numRef>
          </c:val>
          <c:smooth val="0"/>
        </c:ser>
        <c:ser>
          <c:idx val="56"/>
          <c:order val="56"/>
          <c:tx>
            <c:strRef>
              <c:f>Sheet13!$A$58:$B$58</c:f>
              <c:strCache>
                <c:ptCount val="1"/>
                <c:pt idx="0">
                  <c:v>Kuwait 5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Sheet13!$C$58:$Z$58</c:f>
            </c:numRef>
          </c:val>
          <c:smooth val="0"/>
        </c:ser>
        <c:ser>
          <c:idx val="57"/>
          <c:order val="57"/>
          <c:tx>
            <c:strRef>
              <c:f>Sheet13!$A$59:$B$59</c:f>
              <c:strCache>
                <c:ptCount val="1"/>
                <c:pt idx="0">
                  <c:v>Malaysia 3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Sheet13!$C$59:$Z$59</c:f>
            </c:numRef>
          </c:val>
          <c:smooth val="0"/>
        </c:ser>
        <c:ser>
          <c:idx val="58"/>
          <c:order val="58"/>
          <c:tx>
            <c:strRef>
              <c:f>Sheet13!$A$60:$B$60</c:f>
              <c:strCache>
                <c:ptCount val="1"/>
                <c:pt idx="0">
                  <c:v>Netherlands 2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Sheet13!$C$60:$Z$60</c:f>
              <c:numCache>
                <c:formatCode>General</c:formatCode>
                <c:ptCount val="24"/>
                <c:pt idx="17">
                  <c:v>284.6622303113879</c:v>
                </c:pt>
                <c:pt idx="18">
                  <c:v>431.0243902439024</c:v>
                </c:pt>
                <c:pt idx="19">
                  <c:v>652.64023534806</c:v>
                </c:pt>
                <c:pt idx="20">
                  <c:v>988.2022605591906</c:v>
                </c:pt>
                <c:pt idx="21">
                  <c:v>1496.297124944332</c:v>
                </c:pt>
                <c:pt idx="22">
                  <c:v>2265.634451038144</c:v>
                </c:pt>
                <c:pt idx="23">
                  <c:v>3430.53487182359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Sheet13!$A$61:$B$61</c:f>
              <c:strCache>
                <c:ptCount val="1"/>
                <c:pt idx="0">
                  <c:v>Norway 3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Sheet13!$C$61:$Z$61</c:f>
            </c:numRef>
          </c:val>
          <c:smooth val="0"/>
        </c:ser>
        <c:ser>
          <c:idx val="60"/>
          <c:order val="60"/>
          <c:tx>
            <c:strRef>
              <c:f>Sheet13!$A$62:$B$62</c:f>
              <c:strCache>
                <c:ptCount val="1"/>
                <c:pt idx="0">
                  <c:v>Singapore 7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Sheet13!$C$62:$Z$62</c:f>
            </c:numRef>
          </c:val>
          <c:smooth val="0"/>
        </c:ser>
        <c:ser>
          <c:idx val="61"/>
          <c:order val="61"/>
          <c:tx>
            <c:strRef>
              <c:f>Sheet13!$A$63:$B$63</c:f>
              <c:strCache>
                <c:ptCount val="1"/>
                <c:pt idx="0">
                  <c:v>Spain 6 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Sheet13!$C$63:$Z$63</c:f>
            </c:numRef>
          </c:val>
          <c:smooth val="0"/>
        </c:ser>
        <c:ser>
          <c:idx val="62"/>
          <c:order val="62"/>
          <c:tx>
            <c:strRef>
              <c:f>Sheet13!$A$64:$B$64</c:f>
              <c:strCache>
                <c:ptCount val="1"/>
                <c:pt idx="0">
                  <c:v>Sweden 2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Sheet13!$C$64:$Z$64</c:f>
            </c:numRef>
          </c:val>
          <c:smooth val="0"/>
        </c:ser>
        <c:ser>
          <c:idx val="63"/>
          <c:order val="63"/>
          <c:tx>
            <c:strRef>
              <c:f>Sheet13!$A$65:$B$65</c:f>
              <c:strCache>
                <c:ptCount val="1"/>
                <c:pt idx="0">
                  <c:v>Switzerland 4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Sheet13!$C$65:$Z$65</c:f>
            </c:numRef>
          </c:val>
          <c:smooth val="0"/>
        </c:ser>
        <c:ser>
          <c:idx val="64"/>
          <c:order val="64"/>
          <c:tx>
            <c:strRef>
              <c:f>Sheet13!$A$66:$B$66</c:f>
              <c:strCache>
                <c:ptCount val="1"/>
                <c:pt idx="0">
                  <c:v>UK 4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Sheet13!$C$66:$Z$66</c:f>
            </c:numRef>
          </c:val>
          <c:smooth val="0"/>
        </c:ser>
        <c:ser>
          <c:idx val="65"/>
          <c:order val="65"/>
          <c:tx>
            <c:strRef>
              <c:f>Sheet13!$A$67:$B$67</c:f>
              <c:strCache>
                <c:ptCount val="1"/>
                <c:pt idx="0">
                  <c:v>USA 5 day avg</c:v>
                </c:pt>
              </c:strCache>
            </c:strRef>
          </c:tx>
          <c:marker>
            <c:symbol val="none"/>
          </c:marker>
          <c:cat>
            <c:numRef>
              <c:f>Sheet13!$C$1:$Z$1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Sheet13!$C$67:$Z$67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668232"/>
        <c:axId val="2104591672"/>
      </c:lineChart>
      <c:dateAx>
        <c:axId val="2100668232"/>
        <c:scaling>
          <c:orientation val="minMax"/>
        </c:scaling>
        <c:delete val="0"/>
        <c:axPos val="b"/>
        <c:numFmt formatCode="[$-409]d\-mmm;@" sourceLinked="1"/>
        <c:majorTickMark val="in"/>
        <c:minorTickMark val="none"/>
        <c:tickLblPos val="nextTo"/>
        <c:txPr>
          <a:bodyPr rot="-5400000" vert="horz"/>
          <a:lstStyle/>
          <a:p>
            <a:pPr>
              <a:defRPr sz="1400" b="0" i="0">
                <a:latin typeface="Helvetica Neue Light"/>
                <a:cs typeface="Helvetica Neue Light"/>
              </a:defRPr>
            </a:pPr>
            <a:endParaRPr lang="en-US"/>
          </a:p>
        </c:txPr>
        <c:crossAx val="2104591672"/>
        <c:crosses val="autoZero"/>
        <c:auto val="1"/>
        <c:lblOffset val="100"/>
        <c:baseTimeUnit val="days"/>
      </c:dateAx>
      <c:valAx>
        <c:axId val="2104591672"/>
        <c:scaling>
          <c:orientation val="minMax"/>
        </c:scaling>
        <c:delete val="0"/>
        <c:axPos val="r"/>
        <c:majorGridlines>
          <c:spPr>
            <a:ln w="6350"/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0" i="0">
                <a:latin typeface="Helvetica Neue Light"/>
                <a:cs typeface="Helvetica Neue Light"/>
              </a:defRPr>
            </a:pPr>
            <a:endParaRPr lang="en-US"/>
          </a:p>
        </c:txPr>
        <c:crossAx val="2100668232"/>
        <c:crosses val="max"/>
        <c:crossBetween val="between"/>
      </c:valAx>
      <c:spPr>
        <a:ln>
          <a:noFill/>
        </a:ln>
      </c:spPr>
    </c:plotArea>
    <c:legend>
      <c:legendPos val="l"/>
      <c:overlay val="1"/>
      <c:spPr>
        <a:solidFill>
          <a:srgbClr val="FFFFFF"/>
        </a:solidFill>
      </c:spPr>
      <c:txPr>
        <a:bodyPr/>
        <a:lstStyle/>
        <a:p>
          <a:pPr algn="l">
            <a:defRPr sz="1600" b="0" i="0">
              <a:latin typeface="Helvetica Neue Light"/>
              <a:cs typeface="Helvetica Neue Light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b="0" i="0">
                <a:latin typeface="Helvetica Neue Light"/>
                <a:cs typeface="Helvetica Neue Light"/>
              </a:defRPr>
            </a:pPr>
            <a:r>
              <a:rPr lang="en-US" b="0" i="0">
                <a:latin typeface="Helvetica Neue Light"/>
                <a:cs typeface="Helvetica Neue Light"/>
              </a:rPr>
              <a:t>COVID-19 cases Italy v.</a:t>
            </a:r>
            <a:r>
              <a:rPr lang="en-US" b="0" i="0" baseline="0">
                <a:latin typeface="Helvetica Neue Light"/>
                <a:cs typeface="Helvetica Neue Light"/>
              </a:rPr>
              <a:t> Netherlands: ~9 days ahead</a:t>
            </a:r>
            <a:endParaRPr lang="en-US" b="0" i="0">
              <a:latin typeface="Helvetica Neue Light"/>
              <a:cs typeface="Helvetica Neue Light"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Sheet14!$A$7:$B$7</c:f>
              <c:strCache>
                <c:ptCount val="1"/>
                <c:pt idx="0">
                  <c:v>Italy cases per 1M</c:v>
                </c:pt>
              </c:strCache>
            </c:strRef>
          </c:tx>
          <c:marker>
            <c:symbol val="none"/>
          </c:marker>
          <c:cat>
            <c:numRef>
              <c:f>Sheet14!$C$1:$AA$1</c:f>
              <c:numCache>
                <c:formatCode>[$-409]d\-mmm;@</c:formatCode>
                <c:ptCount val="25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</c:numCache>
            </c:numRef>
          </c:cat>
          <c:val>
            <c:numRef>
              <c:f>Sheet14!$C$7:$AA$7</c:f>
              <c:numCache>
                <c:formatCode>General</c:formatCode>
                <c:ptCount val="25"/>
                <c:pt idx="0">
                  <c:v>0.0495970389377425</c:v>
                </c:pt>
                <c:pt idx="1">
                  <c:v>0.330646926251617</c:v>
                </c:pt>
                <c:pt idx="2">
                  <c:v>1.025005471380012</c:v>
                </c:pt>
                <c:pt idx="3">
                  <c:v>2.56251367845003</c:v>
                </c:pt>
                <c:pt idx="4">
                  <c:v>3.785907305581012</c:v>
                </c:pt>
                <c:pt idx="5">
                  <c:v>5.323415512651031</c:v>
                </c:pt>
                <c:pt idx="6">
                  <c:v>7.489152879599121</c:v>
                </c:pt>
                <c:pt idx="7">
                  <c:v>10.82868683474045</c:v>
                </c:pt>
                <c:pt idx="8">
                  <c:v>14.68072352557179</c:v>
                </c:pt>
                <c:pt idx="9">
                  <c:v>18.64848664059119</c:v>
                </c:pt>
                <c:pt idx="10">
                  <c:v>28.00579465351194</c:v>
                </c:pt>
                <c:pt idx="11">
                  <c:v>33.65985709241459</c:v>
                </c:pt>
                <c:pt idx="12">
                  <c:v>41.36393047407726</c:v>
                </c:pt>
                <c:pt idx="13">
                  <c:v>51.06841775956222</c:v>
                </c:pt>
                <c:pt idx="14">
                  <c:v>63.78179207393688</c:v>
                </c:pt>
                <c:pt idx="15">
                  <c:v>76.64395750512477</c:v>
                </c:pt>
                <c:pt idx="16">
                  <c:v>97.25979335691309</c:v>
                </c:pt>
                <c:pt idx="17">
                  <c:v>121.9260540552837</c:v>
                </c:pt>
                <c:pt idx="18">
                  <c:v>151.6346803789915</c:v>
                </c:pt>
                <c:pt idx="19">
                  <c:v>167.786782726383</c:v>
                </c:pt>
                <c:pt idx="20">
                  <c:v>206.0260997473824</c:v>
                </c:pt>
                <c:pt idx="21">
                  <c:v>206.0260997473824</c:v>
                </c:pt>
                <c:pt idx="22">
                  <c:v>291.9612358801776</c:v>
                </c:pt>
                <c:pt idx="23">
                  <c:v>349.7748509352729</c:v>
                </c:pt>
                <c:pt idx="24">
                  <c:v>409.1259741974381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4578744"/>
        <c:axId val="2104575528"/>
      </c:lineChart>
      <c:lineChart>
        <c:grouping val="standard"/>
        <c:varyColors val="0"/>
        <c:ser>
          <c:idx val="1"/>
          <c:order val="0"/>
          <c:tx>
            <c:strRef>
              <c:f>Sheet14!$A$10:$B$10</c:f>
              <c:strCache>
                <c:ptCount val="1"/>
                <c:pt idx="0">
                  <c:v>Netherlands per 1M</c:v>
                </c:pt>
              </c:strCache>
            </c:strRef>
          </c:tx>
          <c:marker>
            <c:symbol val="none"/>
          </c:marker>
          <c:cat>
            <c:numRef>
              <c:f>Sheet14!$C$11:$R$11</c:f>
              <c:numCache>
                <c:formatCode>[$-409]d\-mmm;@</c:formatCode>
                <c:ptCount val="16"/>
                <c:pt idx="0">
                  <c:v>43890.0</c:v>
                </c:pt>
                <c:pt idx="1">
                  <c:v>43891.0</c:v>
                </c:pt>
                <c:pt idx="2">
                  <c:v>43892.0</c:v>
                </c:pt>
                <c:pt idx="3">
                  <c:v>43893.0</c:v>
                </c:pt>
                <c:pt idx="4">
                  <c:v>43894.0</c:v>
                </c:pt>
                <c:pt idx="5">
                  <c:v>43895.0</c:v>
                </c:pt>
                <c:pt idx="6">
                  <c:v>43896.0</c:v>
                </c:pt>
                <c:pt idx="7">
                  <c:v>43897.0</c:v>
                </c:pt>
                <c:pt idx="8">
                  <c:v>43898.0</c:v>
                </c:pt>
                <c:pt idx="9">
                  <c:v>43899.0</c:v>
                </c:pt>
                <c:pt idx="10">
                  <c:v>43900.0</c:v>
                </c:pt>
                <c:pt idx="11">
                  <c:v>43901.0</c:v>
                </c:pt>
                <c:pt idx="12">
                  <c:v>43902.0</c:v>
                </c:pt>
                <c:pt idx="13">
                  <c:v>43903.0</c:v>
                </c:pt>
                <c:pt idx="14">
                  <c:v>43904.0</c:v>
                </c:pt>
                <c:pt idx="15">
                  <c:v>43905.0</c:v>
                </c:pt>
              </c:numCache>
            </c:numRef>
          </c:cat>
          <c:val>
            <c:numRef>
              <c:f>Sheet14!$C$10:$R$10</c:f>
              <c:numCache>
                <c:formatCode>General</c:formatCode>
                <c:ptCount val="16"/>
                <c:pt idx="0">
                  <c:v>0.344280496796757</c:v>
                </c:pt>
                <c:pt idx="1">
                  <c:v>0.573800827994595</c:v>
                </c:pt>
                <c:pt idx="2">
                  <c:v>1.032841490390271</c:v>
                </c:pt>
                <c:pt idx="3">
                  <c:v>1.377121987187027</c:v>
                </c:pt>
                <c:pt idx="4">
                  <c:v>2.18044314637946</c:v>
                </c:pt>
                <c:pt idx="5">
                  <c:v>4.705166789555676</c:v>
                </c:pt>
                <c:pt idx="6">
                  <c:v>7.344650598330813</c:v>
                </c:pt>
                <c:pt idx="7">
                  <c:v>10.78745556629838</c:v>
                </c:pt>
                <c:pt idx="8">
                  <c:v>15.20572194185676</c:v>
                </c:pt>
                <c:pt idx="9">
                  <c:v>18.41900657862649</c:v>
                </c:pt>
                <c:pt idx="10">
                  <c:v>21.91919162939352</c:v>
                </c:pt>
                <c:pt idx="11">
                  <c:v>28.86218164812812</c:v>
                </c:pt>
                <c:pt idx="12">
                  <c:v>28.86218164812812</c:v>
                </c:pt>
                <c:pt idx="13">
                  <c:v>46.13358657076542</c:v>
                </c:pt>
                <c:pt idx="14">
                  <c:v>55.02749940468164</c:v>
                </c:pt>
                <c:pt idx="15">
                  <c:v>65.12639397738651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4569064"/>
        <c:axId val="2104572536"/>
      </c:lineChart>
      <c:dateAx>
        <c:axId val="2104578744"/>
        <c:scaling>
          <c:orientation val="minMax"/>
          <c:max val="43905.0"/>
          <c:min val="43881.0"/>
        </c:scaling>
        <c:delete val="0"/>
        <c:axPos val="b"/>
        <c:numFmt formatCode="[$-409]d\-mmm;@" sourceLinked="1"/>
        <c:majorTickMark val="out"/>
        <c:minorTickMark val="none"/>
        <c:tickLblPos val="nextTo"/>
        <c:txPr>
          <a:bodyPr rot="-5400000" vert="horz" anchor="ctr" anchorCtr="1"/>
          <a:lstStyle/>
          <a:p>
            <a:pPr>
              <a:defRPr sz="1100" b="0" i="0">
                <a:solidFill>
                  <a:schemeClr val="accent1">
                    <a:lumMod val="75000"/>
                  </a:schemeClr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4575528"/>
        <c:crosses val="autoZero"/>
        <c:auto val="1"/>
        <c:lblOffset val="100"/>
        <c:baseTimeUnit val="days"/>
        <c:majorUnit val="1.0"/>
        <c:majorTimeUnit val="days"/>
      </c:dateAx>
      <c:valAx>
        <c:axId val="2104575528"/>
        <c:scaling>
          <c:orientation val="minMax"/>
          <c:max val="450.0"/>
          <c:min val="0.0"/>
        </c:scaling>
        <c:delete val="0"/>
        <c:axPos val="r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0" i="0">
                <a:latin typeface="Helvetica Neue Light"/>
                <a:cs typeface="Helvetica Neue Light"/>
              </a:defRPr>
            </a:pPr>
            <a:endParaRPr lang="en-US"/>
          </a:p>
        </c:txPr>
        <c:crossAx val="2104578744"/>
        <c:crosses val="max"/>
        <c:crossBetween val="between"/>
      </c:valAx>
      <c:valAx>
        <c:axId val="2104572536"/>
        <c:scaling>
          <c:orientation val="minMax"/>
          <c:max val="450.0"/>
          <c:min val="0.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crossAx val="2104569064"/>
        <c:crosses val="max"/>
        <c:crossBetween val="between"/>
      </c:valAx>
      <c:dateAx>
        <c:axId val="2104569064"/>
        <c:scaling>
          <c:orientation val="minMax"/>
          <c:max val="43914.0"/>
          <c:min val="43890.0"/>
        </c:scaling>
        <c:delete val="0"/>
        <c:axPos val="b"/>
        <c:numFmt formatCode="[$-409]d\-mmm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100" b="0" i="0">
                <a:solidFill>
                  <a:srgbClr val="800000"/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4572536"/>
        <c:crosses val="autoZero"/>
        <c:auto val="1"/>
        <c:lblOffset val="100"/>
        <c:baseTimeUnit val="days"/>
        <c:majorUnit val="1.0"/>
        <c:majorTimeUnit val="days"/>
      </c:dateAx>
    </c:plotArea>
    <c:legend>
      <c:legendPos val="r"/>
      <c:overlay val="0"/>
      <c:txPr>
        <a:bodyPr/>
        <a:lstStyle/>
        <a:p>
          <a:pPr>
            <a:defRPr sz="1200" b="0" i="0">
              <a:latin typeface="Helvetica Neue Light"/>
              <a:cs typeface="Helvetica Neue Light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b="0" i="0">
                <a:latin typeface="Helvetica Neue Light"/>
                <a:cs typeface="Helvetica Neue Light"/>
              </a:defRPr>
            </a:pPr>
            <a:r>
              <a:rPr lang="en-US" b="0" i="0">
                <a:latin typeface="Helvetica Neue Light"/>
                <a:cs typeface="Helvetica Neue Light"/>
              </a:rPr>
              <a:t>COVID-19 cases Italy v.</a:t>
            </a:r>
            <a:r>
              <a:rPr lang="en-US" b="0" i="0" baseline="0">
                <a:latin typeface="Helvetica Neue Light"/>
                <a:cs typeface="Helvetica Neue Light"/>
              </a:rPr>
              <a:t> Netherlands: ~9 days ahead (log scale)</a:t>
            </a:r>
            <a:endParaRPr lang="en-US" b="0" i="0">
              <a:latin typeface="Helvetica Neue Light"/>
              <a:cs typeface="Helvetica Neue Light"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Sheet14!$A$7:$B$7</c:f>
              <c:strCache>
                <c:ptCount val="1"/>
                <c:pt idx="0">
                  <c:v>Italy cases per 1M</c:v>
                </c:pt>
              </c:strCache>
            </c:strRef>
          </c:tx>
          <c:marker>
            <c:symbol val="none"/>
          </c:marker>
          <c:cat>
            <c:numRef>
              <c:f>Sheet14!$C$1:$Z$1</c:f>
              <c:numCache>
                <c:formatCode>[$-409]d\-mmm;@</c:formatCode>
                <c:ptCount val="2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</c:numCache>
            </c:numRef>
          </c:cat>
          <c:val>
            <c:numRef>
              <c:f>Sheet14!$C$7:$Z$7</c:f>
              <c:numCache>
                <c:formatCode>General</c:formatCode>
                <c:ptCount val="24"/>
                <c:pt idx="0">
                  <c:v>0.0495970389377425</c:v>
                </c:pt>
                <c:pt idx="1">
                  <c:v>0.330646926251617</c:v>
                </c:pt>
                <c:pt idx="2">
                  <c:v>1.025005471380012</c:v>
                </c:pt>
                <c:pt idx="3">
                  <c:v>2.56251367845003</c:v>
                </c:pt>
                <c:pt idx="4">
                  <c:v>3.785907305581012</c:v>
                </c:pt>
                <c:pt idx="5">
                  <c:v>5.323415512651031</c:v>
                </c:pt>
                <c:pt idx="6">
                  <c:v>7.489152879599121</c:v>
                </c:pt>
                <c:pt idx="7">
                  <c:v>10.82868683474045</c:v>
                </c:pt>
                <c:pt idx="8">
                  <c:v>14.68072352557179</c:v>
                </c:pt>
                <c:pt idx="9">
                  <c:v>18.64848664059119</c:v>
                </c:pt>
                <c:pt idx="10">
                  <c:v>28.00579465351194</c:v>
                </c:pt>
                <c:pt idx="11">
                  <c:v>33.65985709241459</c:v>
                </c:pt>
                <c:pt idx="12">
                  <c:v>41.36393047407726</c:v>
                </c:pt>
                <c:pt idx="13">
                  <c:v>51.06841775956222</c:v>
                </c:pt>
                <c:pt idx="14">
                  <c:v>63.78179207393688</c:v>
                </c:pt>
                <c:pt idx="15">
                  <c:v>76.64395750512477</c:v>
                </c:pt>
                <c:pt idx="16">
                  <c:v>97.25979335691309</c:v>
                </c:pt>
                <c:pt idx="17">
                  <c:v>121.9260540552837</c:v>
                </c:pt>
                <c:pt idx="18">
                  <c:v>151.6346803789915</c:v>
                </c:pt>
                <c:pt idx="19">
                  <c:v>167.786782726383</c:v>
                </c:pt>
                <c:pt idx="20">
                  <c:v>206.0260997473824</c:v>
                </c:pt>
                <c:pt idx="21">
                  <c:v>206.0260997473824</c:v>
                </c:pt>
                <c:pt idx="22">
                  <c:v>291.9612358801776</c:v>
                </c:pt>
                <c:pt idx="23">
                  <c:v>349.7748509352729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4529176"/>
        <c:axId val="2104525960"/>
      </c:lineChart>
      <c:lineChart>
        <c:grouping val="standard"/>
        <c:varyColors val="0"/>
        <c:ser>
          <c:idx val="1"/>
          <c:order val="0"/>
          <c:tx>
            <c:strRef>
              <c:f>Sheet14!$A$10:$B$10</c:f>
              <c:strCache>
                <c:ptCount val="1"/>
                <c:pt idx="0">
                  <c:v>Netherlands per 1M</c:v>
                </c:pt>
              </c:strCache>
            </c:strRef>
          </c:tx>
          <c:marker>
            <c:symbol val="none"/>
          </c:marker>
          <c:cat>
            <c:numRef>
              <c:f>Sheet14!$C$11:$Q$11</c:f>
              <c:numCache>
                <c:formatCode>[$-409]d\-mmm;@</c:formatCode>
                <c:ptCount val="15"/>
                <c:pt idx="0">
                  <c:v>43890.0</c:v>
                </c:pt>
                <c:pt idx="1">
                  <c:v>43891.0</c:v>
                </c:pt>
                <c:pt idx="2">
                  <c:v>43892.0</c:v>
                </c:pt>
                <c:pt idx="3">
                  <c:v>43893.0</c:v>
                </c:pt>
                <c:pt idx="4">
                  <c:v>43894.0</c:v>
                </c:pt>
                <c:pt idx="5">
                  <c:v>43895.0</c:v>
                </c:pt>
                <c:pt idx="6">
                  <c:v>43896.0</c:v>
                </c:pt>
                <c:pt idx="7">
                  <c:v>43897.0</c:v>
                </c:pt>
                <c:pt idx="8">
                  <c:v>43898.0</c:v>
                </c:pt>
                <c:pt idx="9">
                  <c:v>43899.0</c:v>
                </c:pt>
                <c:pt idx="10">
                  <c:v>43900.0</c:v>
                </c:pt>
                <c:pt idx="11">
                  <c:v>43901.0</c:v>
                </c:pt>
                <c:pt idx="12">
                  <c:v>43902.0</c:v>
                </c:pt>
                <c:pt idx="13">
                  <c:v>43903.0</c:v>
                </c:pt>
                <c:pt idx="14">
                  <c:v>43904.0</c:v>
                </c:pt>
              </c:numCache>
            </c:numRef>
          </c:cat>
          <c:val>
            <c:numRef>
              <c:f>Sheet14!$C$10:$Q$10</c:f>
              <c:numCache>
                <c:formatCode>General</c:formatCode>
                <c:ptCount val="15"/>
                <c:pt idx="0">
                  <c:v>0.344280496796757</c:v>
                </c:pt>
                <c:pt idx="1">
                  <c:v>0.573800827994595</c:v>
                </c:pt>
                <c:pt idx="2">
                  <c:v>1.032841490390271</c:v>
                </c:pt>
                <c:pt idx="3">
                  <c:v>1.377121987187027</c:v>
                </c:pt>
                <c:pt idx="4">
                  <c:v>2.18044314637946</c:v>
                </c:pt>
                <c:pt idx="5">
                  <c:v>4.705166789555676</c:v>
                </c:pt>
                <c:pt idx="6">
                  <c:v>7.344650598330813</c:v>
                </c:pt>
                <c:pt idx="7">
                  <c:v>10.78745556629838</c:v>
                </c:pt>
                <c:pt idx="8">
                  <c:v>15.20572194185676</c:v>
                </c:pt>
                <c:pt idx="9">
                  <c:v>18.41900657862649</c:v>
                </c:pt>
                <c:pt idx="10">
                  <c:v>21.91919162939352</c:v>
                </c:pt>
                <c:pt idx="11">
                  <c:v>28.86218164812812</c:v>
                </c:pt>
                <c:pt idx="12">
                  <c:v>28.86218164812812</c:v>
                </c:pt>
                <c:pt idx="13">
                  <c:v>46.13358657076542</c:v>
                </c:pt>
                <c:pt idx="14">
                  <c:v>55.02749940468164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4519720"/>
        <c:axId val="2104522968"/>
      </c:lineChart>
      <c:dateAx>
        <c:axId val="2104529176"/>
        <c:scaling>
          <c:orientation val="minMax"/>
          <c:max val="43904.0"/>
          <c:min val="43881.0"/>
        </c:scaling>
        <c:delete val="0"/>
        <c:axPos val="t"/>
        <c:numFmt formatCode="[$-409]d\-mmm;@" sourceLinked="1"/>
        <c:majorTickMark val="out"/>
        <c:minorTickMark val="none"/>
        <c:tickLblPos val="nextTo"/>
        <c:txPr>
          <a:bodyPr rot="-5400000" vert="horz" anchor="ctr" anchorCtr="1"/>
          <a:lstStyle/>
          <a:p>
            <a:pPr>
              <a:defRPr sz="1100" b="0" i="0">
                <a:solidFill>
                  <a:schemeClr val="accent1">
                    <a:lumMod val="75000"/>
                  </a:schemeClr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4525960"/>
        <c:crosses val="max"/>
        <c:auto val="1"/>
        <c:lblOffset val="100"/>
        <c:baseTimeUnit val="days"/>
        <c:majorUnit val="1.0"/>
        <c:majorTimeUnit val="days"/>
      </c:dateAx>
      <c:valAx>
        <c:axId val="2104525960"/>
        <c:scaling>
          <c:logBase val="10.0"/>
          <c:orientation val="minMax"/>
          <c:max val="400.0"/>
          <c:min val="0.01"/>
        </c:scaling>
        <c:delete val="0"/>
        <c:axPos val="r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0" i="0">
                <a:latin typeface="Helvetica Neue Light"/>
                <a:cs typeface="Helvetica Neue Light"/>
              </a:defRPr>
            </a:pPr>
            <a:endParaRPr lang="en-US"/>
          </a:p>
        </c:txPr>
        <c:crossAx val="2104529176"/>
        <c:crosses val="max"/>
        <c:crossBetween val="between"/>
      </c:valAx>
      <c:valAx>
        <c:axId val="2104522968"/>
        <c:scaling>
          <c:logBase val="10.0"/>
          <c:orientation val="minMax"/>
          <c:max val="400.0"/>
          <c:min val="0.01"/>
        </c:scaling>
        <c:delete val="1"/>
        <c:axPos val="r"/>
        <c:numFmt formatCode="General" sourceLinked="1"/>
        <c:majorTickMark val="out"/>
        <c:minorTickMark val="none"/>
        <c:tickLblPos val="nextTo"/>
        <c:crossAx val="2104519720"/>
        <c:crosses val="max"/>
        <c:crossBetween val="between"/>
      </c:valAx>
      <c:dateAx>
        <c:axId val="2104519720"/>
        <c:scaling>
          <c:orientation val="minMax"/>
          <c:max val="43913.0"/>
          <c:min val="43890.0"/>
        </c:scaling>
        <c:delete val="0"/>
        <c:axPos val="t"/>
        <c:numFmt formatCode="[$-409]d\-mmm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100" b="0" i="0">
                <a:solidFill>
                  <a:srgbClr val="800000"/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4522968"/>
        <c:crosses val="max"/>
        <c:auto val="1"/>
        <c:lblOffset val="100"/>
        <c:baseTimeUnit val="days"/>
        <c:majorUnit val="1.0"/>
        <c:majorTimeUnit val="days"/>
      </c:dateAx>
    </c:plotArea>
    <c:legend>
      <c:legendPos val="r"/>
      <c:overlay val="0"/>
      <c:txPr>
        <a:bodyPr/>
        <a:lstStyle/>
        <a:p>
          <a:pPr>
            <a:defRPr sz="1200" b="0" i="0">
              <a:latin typeface="Helvetica Neue Light"/>
              <a:cs typeface="Helvetica Neue Light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b="0" i="0">
                <a:latin typeface="Helvetica Neue Light"/>
                <a:cs typeface="Helvetica Neue Light"/>
              </a:defRPr>
            </a:pPr>
            <a:r>
              <a:rPr lang="cs-CZ" sz="1800" b="0" i="0" u="none" strike="noStrike" baseline="0">
                <a:effectLst/>
              </a:rPr>
              <a:t>Italy</a:t>
            </a:r>
            <a:r>
              <a:rPr lang="cs-CZ" sz="1800" b="0" i="0" u="none" strike="noStrike" baseline="0"/>
              <a:t> </a:t>
            </a:r>
            <a:r>
              <a:rPr lang="en-US" b="0" i="0">
                <a:latin typeface="Helvetica Neue Light"/>
                <a:cs typeface="Helvetica Neue Light"/>
              </a:rPr>
              <a:t>COVID-19 cases and Intensive Care use</a:t>
            </a:r>
          </a:p>
        </c:rich>
      </c:tx>
      <c:layout>
        <c:manualLayout>
          <c:xMode val="edge"/>
          <c:yMode val="edge"/>
          <c:x val="0.336687872793786"/>
          <c:y val="0.0216867469879518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0"/>
          <c:order val="3"/>
          <c:tx>
            <c:strRef>
              <c:f>Sheet14!$B$3</c:f>
              <c:strCache>
                <c:ptCount val="1"/>
                <c:pt idx="0">
                  <c:v>prediction</c:v>
                </c:pt>
              </c:strCache>
            </c:strRef>
          </c:tx>
          <c:spPr>
            <a:solidFill>
              <a:schemeClr val="bg1">
                <a:lumMod val="65000"/>
                <a:alpha val="42000"/>
              </a:schemeClr>
            </a:solidFill>
            <a:effectLst/>
          </c:spPr>
          <c:cat>
            <c:numRef>
              <c:f>Sheet14!$C$1:$AI$1</c:f>
              <c:numCache>
                <c:formatCode>[$-409]d\-mmm;@</c:formatCode>
                <c:ptCount val="33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  <c:pt idx="31">
                  <c:v>43912.0</c:v>
                </c:pt>
                <c:pt idx="32">
                  <c:v>43913.0</c:v>
                </c:pt>
              </c:numCache>
            </c:numRef>
          </c:cat>
          <c:val>
            <c:numRef>
              <c:f>Sheet14!$C$3:$AI$3</c:f>
              <c:numCache>
                <c:formatCode>0</c:formatCode>
                <c:ptCount val="33"/>
                <c:pt idx="24">
                  <c:v>1000.0</c:v>
                </c:pt>
                <c:pt idx="25">
                  <c:v>1000.0</c:v>
                </c:pt>
                <c:pt idx="26">
                  <c:v>1000.0</c:v>
                </c:pt>
                <c:pt idx="27">
                  <c:v>1000.0</c:v>
                </c:pt>
                <c:pt idx="28">
                  <c:v>1000.0</c:v>
                </c:pt>
                <c:pt idx="29">
                  <c:v>1000.0</c:v>
                </c:pt>
                <c:pt idx="30">
                  <c:v>1000.0</c:v>
                </c:pt>
                <c:pt idx="31">
                  <c:v>1000.0</c:v>
                </c:pt>
                <c:pt idx="32">
                  <c:v>1000.0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164264"/>
        <c:axId val="2108167592"/>
      </c:areaChart>
      <c:lineChart>
        <c:grouping val="standard"/>
        <c:varyColors val="0"/>
        <c:ser>
          <c:idx val="1"/>
          <c:order val="0"/>
          <c:tx>
            <c:strRef>
              <c:f>Sheet14!$B$8:$B$8</c:f>
              <c:strCache>
                <c:ptCount val="1"/>
                <c:pt idx="0">
                  <c:v>IC patients per 1M inhabitants</c:v>
                </c:pt>
              </c:strCache>
            </c:strRef>
          </c:tx>
          <c:spPr>
            <a:ln w="28575" cmpd="sng"/>
          </c:spPr>
          <c:marker>
            <c:symbol val="none"/>
          </c:marker>
          <c:cat>
            <c:numRef>
              <c:f>Sheet14!$C$1:$AH$1</c:f>
              <c:numCache>
                <c:formatCode>[$-409]d\-mmm;@</c:formatCode>
                <c:ptCount val="32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  <c:pt idx="31">
                  <c:v>43912.0</c:v>
                </c:pt>
              </c:numCache>
            </c:numRef>
          </c:cat>
          <c:val>
            <c:numRef>
              <c:f>Sheet14!$C$8:$AA$8</c:f>
              <c:numCache>
                <c:formatCode>General</c:formatCode>
                <c:ptCount val="25"/>
                <c:pt idx="7">
                  <c:v>0.925811393504527</c:v>
                </c:pt>
                <c:pt idx="8">
                  <c:v>1.058070164005174</c:v>
                </c:pt>
                <c:pt idx="9">
                  <c:v>1.735896362820988</c:v>
                </c:pt>
                <c:pt idx="10">
                  <c:v>2.314528483761318</c:v>
                </c:pt>
                <c:pt idx="11">
                  <c:v>2.74436948788842</c:v>
                </c:pt>
                <c:pt idx="12">
                  <c:v>3.785907305581012</c:v>
                </c:pt>
                <c:pt idx="13">
                  <c:v>4.877042162211347</c:v>
                </c:pt>
                <c:pt idx="14">
                  <c:v>5.802853555715875</c:v>
                </c:pt>
                <c:pt idx="15">
                  <c:v>7.637943996412349</c:v>
                </c:pt>
                <c:pt idx="16">
                  <c:v>9.373840359233337</c:v>
                </c:pt>
                <c:pt idx="17">
                  <c:v>10.74602510317755</c:v>
                </c:pt>
                <c:pt idx="18">
                  <c:v>12.11820984712176</c:v>
                </c:pt>
                <c:pt idx="19">
                  <c:v>14.4988677161334</c:v>
                </c:pt>
                <c:pt idx="20">
                  <c:v>16.9952520093331</c:v>
                </c:pt>
                <c:pt idx="21">
                  <c:v>19.06179529840571</c:v>
                </c:pt>
                <c:pt idx="22">
                  <c:v>21.95495590310736</c:v>
                </c:pt>
                <c:pt idx="23">
                  <c:v>25.09610170249772</c:v>
                </c:pt>
                <c:pt idx="24">
                  <c:v>27.64208303463517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Sheet14!$B$9:$B$9</c:f>
              <c:strCache>
                <c:ptCount val="1"/>
                <c:pt idx="0">
                  <c:v>10% of cases per 1M inhabitants</c:v>
                </c:pt>
              </c:strCache>
            </c:strRef>
          </c:tx>
          <c:spPr>
            <a:ln w="28575" cmpd="sng">
              <a:solidFill>
                <a:schemeClr val="accent3"/>
              </a:solidFill>
              <a:prstDash val="lgDash"/>
            </a:ln>
          </c:spPr>
          <c:marker>
            <c:symbol val="none"/>
          </c:marker>
          <c:cat>
            <c:numRef>
              <c:f>Sheet14!$C$1:$AH$1</c:f>
              <c:numCache>
                <c:formatCode>[$-409]d\-mmm;@</c:formatCode>
                <c:ptCount val="32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  <c:pt idx="31">
                  <c:v>43912.0</c:v>
                </c:pt>
              </c:numCache>
            </c:numRef>
          </c:cat>
          <c:val>
            <c:numRef>
              <c:f>Sheet14!$C$9:$AH$9</c:f>
              <c:numCache>
                <c:formatCode>General</c:formatCode>
                <c:ptCount val="32"/>
                <c:pt idx="0">
                  <c:v>0.00495970389377425</c:v>
                </c:pt>
                <c:pt idx="1">
                  <c:v>0.0330646926251617</c:v>
                </c:pt>
                <c:pt idx="2">
                  <c:v>0.102500547138001</c:v>
                </c:pt>
                <c:pt idx="3">
                  <c:v>0.256251367845003</c:v>
                </c:pt>
                <c:pt idx="4">
                  <c:v>0.378590730558101</c:v>
                </c:pt>
                <c:pt idx="5">
                  <c:v>0.532341551265103</c:v>
                </c:pt>
                <c:pt idx="6">
                  <c:v>0.748915287959912</c:v>
                </c:pt>
                <c:pt idx="7">
                  <c:v>1.082868683474045</c:v>
                </c:pt>
                <c:pt idx="8">
                  <c:v>1.468072352557179</c:v>
                </c:pt>
                <c:pt idx="9">
                  <c:v>1.864848664059119</c:v>
                </c:pt>
                <c:pt idx="10">
                  <c:v>2.800579465351195</c:v>
                </c:pt>
                <c:pt idx="11">
                  <c:v>3.36598570924146</c:v>
                </c:pt>
                <c:pt idx="12">
                  <c:v>4.136393047407726</c:v>
                </c:pt>
                <c:pt idx="13">
                  <c:v>5.106841775956222</c:v>
                </c:pt>
                <c:pt idx="14">
                  <c:v>6.37817920739369</c:v>
                </c:pt>
                <c:pt idx="15">
                  <c:v>7.664395750512478</c:v>
                </c:pt>
                <c:pt idx="16">
                  <c:v>9.72597933569131</c:v>
                </c:pt>
                <c:pt idx="17">
                  <c:v>12.19260540552837</c:v>
                </c:pt>
                <c:pt idx="18">
                  <c:v>15.16346803789915</c:v>
                </c:pt>
                <c:pt idx="19">
                  <c:v>16.7786782726383</c:v>
                </c:pt>
                <c:pt idx="20">
                  <c:v>20.60260997473824</c:v>
                </c:pt>
                <c:pt idx="21">
                  <c:v>20.60260997473824</c:v>
                </c:pt>
                <c:pt idx="22">
                  <c:v>29.19612358801777</c:v>
                </c:pt>
                <c:pt idx="23">
                  <c:v>34.97748509352729</c:v>
                </c:pt>
                <c:pt idx="24">
                  <c:v>40.91259741974381</c:v>
                </c:pt>
                <c:pt idx="25">
                  <c:v>46.92929334634034</c:v>
                </c:pt>
                <c:pt idx="26">
                  <c:v>53.83081771591551</c:v>
                </c:pt>
                <c:pt idx="27">
                  <c:v>61.7472953316928</c:v>
                </c:pt>
                <c:pt idx="28">
                  <c:v>70.82798743464059</c:v>
                </c:pt>
                <c:pt idx="29">
                  <c:v>81.2441059497994</c:v>
                </c:pt>
                <c:pt idx="30">
                  <c:v>93.19204160182032</c:v>
                </c:pt>
                <c:pt idx="31">
                  <c:v>106.8970667642242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164264"/>
        <c:axId val="2108167592"/>
      </c:lineChart>
      <c:lineChart>
        <c:grouping val="standard"/>
        <c:varyColors val="0"/>
        <c:ser>
          <c:idx val="3"/>
          <c:order val="2"/>
          <c:tx>
            <c:strRef>
              <c:f>Sheet14!$B$4:$B$4</c:f>
              <c:strCache>
                <c:ptCount val="1"/>
                <c:pt idx="0">
                  <c:v>percentage of cases on IC</c:v>
                </c:pt>
              </c:strCache>
            </c:strRef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Sheet14!$C$1:$AA$1</c:f>
              <c:numCache>
                <c:formatCode>[$-409]d\-mmm;@</c:formatCode>
                <c:ptCount val="25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</c:numCache>
            </c:numRef>
          </c:cat>
          <c:val>
            <c:numRef>
              <c:f>Sheet14!$C$4:$AA$4</c:f>
              <c:numCache>
                <c:formatCode>#,#00%</c:formatCode>
                <c:ptCount val="25"/>
                <c:pt idx="3">
                  <c:v>0.167741935483871</c:v>
                </c:pt>
                <c:pt idx="4">
                  <c:v>0.117903930131004</c:v>
                </c:pt>
                <c:pt idx="5">
                  <c:v>0.108695652173913</c:v>
                </c:pt>
                <c:pt idx="6">
                  <c:v>0.0794701986754967</c:v>
                </c:pt>
                <c:pt idx="7">
                  <c:v>0.0854961832061069</c:v>
                </c:pt>
                <c:pt idx="8">
                  <c:v>0.0720720720720721</c:v>
                </c:pt>
                <c:pt idx="9">
                  <c:v>0.0930851063829787</c:v>
                </c:pt>
                <c:pt idx="10">
                  <c:v>0.0826446280991735</c:v>
                </c:pt>
                <c:pt idx="11">
                  <c:v>0.0815324165029469</c:v>
                </c:pt>
                <c:pt idx="12">
                  <c:v>0.0915267785771383</c:v>
                </c:pt>
                <c:pt idx="13">
                  <c:v>0.0955001618646811</c:v>
                </c:pt>
                <c:pt idx="14">
                  <c:v>0.0909797822706065</c:v>
                </c:pt>
                <c:pt idx="15">
                  <c:v>0.0996548748921484</c:v>
                </c:pt>
                <c:pt idx="16">
                  <c:v>0.0963793982661907</c:v>
                </c:pt>
                <c:pt idx="17">
                  <c:v>0.088135593220339</c:v>
                </c:pt>
                <c:pt idx="18">
                  <c:v>0.079917139119058</c:v>
                </c:pt>
                <c:pt idx="19">
                  <c:v>0.0864124544290078</c:v>
                </c:pt>
                <c:pt idx="20">
                  <c:v>0.082490771946718</c:v>
                </c:pt>
                <c:pt idx="21">
                  <c:v>0.0925212646445193</c:v>
                </c:pt>
                <c:pt idx="22">
                  <c:v>0.07519818799547</c:v>
                </c:pt>
                <c:pt idx="23">
                  <c:v>0.0717493028312142</c:v>
                </c:pt>
                <c:pt idx="24">
                  <c:v>0.0675637451004162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173848"/>
        <c:axId val="2108170520"/>
      </c:lineChart>
      <c:dateAx>
        <c:axId val="2108164264"/>
        <c:scaling>
          <c:orientation val="minMax"/>
          <c:max val="43912.0"/>
          <c:min val="43881.0"/>
        </c:scaling>
        <c:delete val="0"/>
        <c:axPos val="b"/>
        <c:numFmt formatCode="[$-409]d\-mmm;@" sourceLinked="1"/>
        <c:majorTickMark val="out"/>
        <c:minorTickMark val="none"/>
        <c:tickLblPos val="nextTo"/>
        <c:txPr>
          <a:bodyPr rot="-5400000" vert="horz" anchor="ctr" anchorCtr="1"/>
          <a:lstStyle/>
          <a:p>
            <a:pPr>
              <a:defRPr sz="1100" b="0" i="0">
                <a:solidFill>
                  <a:schemeClr val="tx1"/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8167592"/>
        <c:crosses val="autoZero"/>
        <c:auto val="1"/>
        <c:lblOffset val="100"/>
        <c:baseTimeUnit val="days"/>
        <c:majorUnit val="1.0"/>
        <c:majorTimeUnit val="days"/>
      </c:dateAx>
      <c:valAx>
        <c:axId val="2108167592"/>
        <c:scaling>
          <c:orientation val="minMax"/>
          <c:max val="110.0"/>
          <c:min val="0.0"/>
        </c:scaling>
        <c:delete val="0"/>
        <c:axPos val="r"/>
        <c:majorGridlines/>
        <c:numFmt formatCode="0" sourceLinked="1"/>
        <c:majorTickMark val="none"/>
        <c:minorTickMark val="in"/>
        <c:tickLblPos val="nextTo"/>
        <c:txPr>
          <a:bodyPr/>
          <a:lstStyle/>
          <a:p>
            <a:pPr>
              <a:defRPr sz="1200" b="0" i="0">
                <a:latin typeface="Helvetica Neue Light"/>
                <a:cs typeface="Helvetica Neue Light"/>
              </a:defRPr>
            </a:pPr>
            <a:endParaRPr lang="en-US"/>
          </a:p>
        </c:txPr>
        <c:crossAx val="2108164264"/>
        <c:crosses val="max"/>
        <c:crossBetween val="between"/>
        <c:minorUnit val="10.0"/>
      </c:valAx>
      <c:valAx>
        <c:axId val="2108170520"/>
        <c:scaling>
          <c:orientation val="minMax"/>
          <c:max val="0.22"/>
          <c:min val="0.0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200" b="1" i="0">
                <a:solidFill>
                  <a:schemeClr val="tx2">
                    <a:lumMod val="60000"/>
                    <a:lumOff val="40000"/>
                  </a:schemeClr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8173848"/>
        <c:crosses val="autoZero"/>
        <c:crossBetween val="between"/>
        <c:majorUnit val="0.04"/>
        <c:minorUnit val="0.004"/>
      </c:valAx>
      <c:dateAx>
        <c:axId val="2108173848"/>
        <c:scaling>
          <c:orientation val="minMax"/>
        </c:scaling>
        <c:delete val="1"/>
        <c:axPos val="t"/>
        <c:numFmt formatCode="[$-409]d\-mmm;@" sourceLinked="1"/>
        <c:majorTickMark val="out"/>
        <c:minorTickMark val="none"/>
        <c:tickLblPos val="nextTo"/>
        <c:crossAx val="2108170520"/>
        <c:crosses val="max"/>
        <c:auto val="1"/>
        <c:lblOffset val="100"/>
        <c:baseTimeUnit val="days"/>
        <c:majorUnit val="1.0"/>
        <c:minorUnit val="1.0"/>
      </c:dateAx>
    </c:plotArea>
    <c:legend>
      <c:legendPos val="t"/>
      <c:layout>
        <c:manualLayout>
          <c:xMode val="edge"/>
          <c:yMode val="edge"/>
          <c:x val="0.499117521024158"/>
          <c:y val="0.131566265060241"/>
          <c:w val="0.245091838059525"/>
          <c:h val="0.272321601366094"/>
        </c:manualLayout>
      </c:layout>
      <c:overlay val="1"/>
      <c:spPr>
        <a:solidFill>
          <a:srgbClr val="FFFFFF"/>
        </a:solidFill>
      </c:spPr>
      <c:txPr>
        <a:bodyPr/>
        <a:lstStyle/>
        <a:p>
          <a:pPr>
            <a:defRPr sz="1200" b="0" i="0">
              <a:latin typeface="Helvetica Neue Light"/>
              <a:cs typeface="Helvetica Neue Light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>
                <a:latin typeface="Helvetica Neue Light"/>
                <a:cs typeface="Helvetica Neue Light"/>
              </a:rPr>
              <a:t>COVID</a:t>
            </a:r>
            <a:r>
              <a:rPr lang="en-US" sz="2000" b="1" i="0" baseline="0">
                <a:latin typeface="Helvetica Neue Light"/>
                <a:cs typeface="Helvetica Neue Light"/>
              </a:rPr>
              <a:t>-19 deaths, intensive care, and hospitalizations </a:t>
            </a:r>
            <a:r>
              <a:rPr lang="en-US" sz="2000" b="1" i="0" baseline="0">
                <a:effectLst/>
                <a:latin typeface="Helvetica Neue Light"/>
                <a:cs typeface="Helvetica Neue Light"/>
              </a:rPr>
              <a:t>per capita </a:t>
            </a:r>
            <a:r>
              <a:rPr lang="en-US" sz="2000" b="1" i="0" baseline="0">
                <a:latin typeface="Helvetica Neue Light"/>
                <a:cs typeface="Helvetica Neue Light"/>
              </a:rPr>
              <a:t/>
            </a:r>
            <a:br>
              <a:rPr lang="en-US" sz="2000" b="1" i="0" baseline="0">
                <a:latin typeface="Helvetica Neue Light"/>
                <a:cs typeface="Helvetica Neue Light"/>
              </a:rPr>
            </a:br>
            <a:r>
              <a:rPr lang="en-US" sz="2000" b="1" i="0" baseline="0">
                <a:latin typeface="Helvetica Neue Light"/>
                <a:cs typeface="Helvetica Neue Light"/>
              </a:rPr>
              <a:t/>
            </a:r>
            <a:br>
              <a:rPr lang="en-US" sz="2000" b="1" i="0" baseline="0">
                <a:latin typeface="Helvetica Neue Light"/>
                <a:cs typeface="Helvetica Neue Light"/>
              </a:rPr>
            </a:br>
            <a:r>
              <a:rPr lang="en-US" sz="2000" b="1" i="0" baseline="0">
                <a:latin typeface="Helvetica Neue Light"/>
                <a:cs typeface="Helvetica Neue Light"/>
              </a:rPr>
              <a:t>Italy (60.5M) v. Netherlands (17.4M), 12 days delayed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baseline="0">
                <a:latin typeface="Helvetica Neue Light"/>
                <a:cs typeface="Helvetica Neue Light"/>
              </a:rPr>
              <a:t> </a:t>
            </a:r>
            <a:endParaRPr lang="en-US" sz="2000" b="1" i="0">
              <a:latin typeface="Helvetica Neue Light"/>
              <a:cs typeface="Helvetica Neue Light"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2"/>
          <c:tx>
            <c:strRef>
              <c:f>ITA.v.NL1!$I$1:$I$2</c:f>
              <c:strCache>
                <c:ptCount val="1"/>
                <c:pt idx="0">
                  <c:v>Italy, hospital patients</c:v>
                </c:pt>
              </c:strCache>
            </c:strRef>
          </c:tx>
          <c:spPr>
            <a:ln w="28575" cmpd="sng">
              <a:solidFill>
                <a:srgbClr val="CD212A">
                  <a:alpha val="64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ITA.v.NL1!$A$3:$A$36</c:f>
              <c:numCache>
                <c:formatCode>[$-409]d\-mmm;@</c:formatCode>
                <c:ptCount val="3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  <c:pt idx="31">
                  <c:v>43912.0</c:v>
                </c:pt>
                <c:pt idx="32">
                  <c:v>43913.0</c:v>
                </c:pt>
              </c:numCache>
            </c:numRef>
          </c:cat>
          <c:val>
            <c:numRef>
              <c:f>ITA.v.NL1!$I$3:$I$36</c:f>
              <c:numCache>
                <c:formatCode>0.00</c:formatCode>
                <c:ptCount val="34"/>
                <c:pt idx="4">
                  <c:v>2.099607981697767</c:v>
                </c:pt>
                <c:pt idx="5">
                  <c:v>2.479851946887126</c:v>
                </c:pt>
                <c:pt idx="6">
                  <c:v>2.711304795263258</c:v>
                </c:pt>
                <c:pt idx="7">
                  <c:v>5.025833279024575</c:v>
                </c:pt>
                <c:pt idx="8">
                  <c:v>6.761729641845564</c:v>
                </c:pt>
                <c:pt idx="9">
                  <c:v>8.365367234165905</c:v>
                </c:pt>
                <c:pt idx="10">
                  <c:v>12.87869777750048</c:v>
                </c:pt>
                <c:pt idx="11">
                  <c:v>15.0113704518234</c:v>
                </c:pt>
                <c:pt idx="12">
                  <c:v>20.8803533927896</c:v>
                </c:pt>
                <c:pt idx="13">
                  <c:v>27.12958029894516</c:v>
                </c:pt>
                <c:pt idx="14">
                  <c:v>35.39575345523558</c:v>
                </c:pt>
                <c:pt idx="15">
                  <c:v>47.21638106873088</c:v>
                </c:pt>
                <c:pt idx="16">
                  <c:v>53.20109043388515</c:v>
                </c:pt>
                <c:pt idx="17">
                  <c:v>69.55158093702759</c:v>
                </c:pt>
                <c:pt idx="18">
                  <c:v>83.47181653222067</c:v>
                </c:pt>
                <c:pt idx="19">
                  <c:v>97.78882843891567</c:v>
                </c:pt>
                <c:pt idx="20">
                  <c:v>113.5110897821801</c:v>
                </c:pt>
                <c:pt idx="21">
                  <c:v>129.0018982770683</c:v>
                </c:pt>
                <c:pt idx="22">
                  <c:v>144.7241596203327</c:v>
                </c:pt>
                <c:pt idx="23">
                  <c:v>163.5049050314245</c:v>
                </c:pt>
                <c:pt idx="24">
                  <c:v>187.3941454531038</c:v>
                </c:pt>
                <c:pt idx="25">
                  <c:v>182.2691180962038</c:v>
                </c:pt>
                <c:pt idx="26">
                  <c:v>213.1680733544174</c:v>
                </c:pt>
                <c:pt idx="27">
                  <c:v>237.4540900875986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ITA.v.NL1!$G$1:$G$2</c:f>
              <c:strCache>
                <c:ptCount val="1"/>
                <c:pt idx="0">
                  <c:v>Italy, IC patients</c:v>
                </c:pt>
              </c:strCache>
            </c:strRef>
          </c:tx>
          <c:spPr>
            <a:ln w="28575" cmpd="sng">
              <a:solidFill>
                <a:srgbClr val="CD212A">
                  <a:alpha val="7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ITA.v.NL1!$A$3:$A$36</c:f>
              <c:numCache>
                <c:formatCode>[$-409]d\-mmm;@</c:formatCode>
                <c:ptCount val="3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  <c:pt idx="31">
                  <c:v>43912.0</c:v>
                </c:pt>
                <c:pt idx="32">
                  <c:v>43913.0</c:v>
                </c:pt>
              </c:numCache>
            </c:numRef>
          </c:cat>
          <c:val>
            <c:numRef>
              <c:f>ITA.v.NL1!$G$3:$G$36</c:f>
              <c:numCache>
                <c:formatCode>0.00</c:formatCode>
                <c:ptCount val="34"/>
                <c:pt idx="3">
                  <c:v>0.429841004127102</c:v>
                </c:pt>
                <c:pt idx="4">
                  <c:v>0.446373350439683</c:v>
                </c:pt>
                <c:pt idx="5">
                  <c:v>0.578632120940329</c:v>
                </c:pt>
                <c:pt idx="6">
                  <c:v>0.59516446725291</c:v>
                </c:pt>
                <c:pt idx="7">
                  <c:v>0.925811393504527</c:v>
                </c:pt>
                <c:pt idx="8">
                  <c:v>1.058070164005174</c:v>
                </c:pt>
                <c:pt idx="9">
                  <c:v>1.735896362820988</c:v>
                </c:pt>
                <c:pt idx="10">
                  <c:v>2.314528483761318</c:v>
                </c:pt>
                <c:pt idx="11">
                  <c:v>2.74436948788842</c:v>
                </c:pt>
                <c:pt idx="12">
                  <c:v>3.785907305581012</c:v>
                </c:pt>
                <c:pt idx="13">
                  <c:v>4.877042162211347</c:v>
                </c:pt>
                <c:pt idx="14">
                  <c:v>5.802853555715875</c:v>
                </c:pt>
                <c:pt idx="15">
                  <c:v>7.637943996412349</c:v>
                </c:pt>
                <c:pt idx="16">
                  <c:v>9.373840359233337</c:v>
                </c:pt>
                <c:pt idx="17">
                  <c:v>10.74602510317755</c:v>
                </c:pt>
                <c:pt idx="18">
                  <c:v>12.11820984712176</c:v>
                </c:pt>
                <c:pt idx="19">
                  <c:v>14.4988677161334</c:v>
                </c:pt>
                <c:pt idx="20">
                  <c:v>16.9952520093331</c:v>
                </c:pt>
                <c:pt idx="21">
                  <c:v>19.06179529840571</c:v>
                </c:pt>
                <c:pt idx="22">
                  <c:v>21.95495590310736</c:v>
                </c:pt>
                <c:pt idx="23">
                  <c:v>25.09610170249772</c:v>
                </c:pt>
                <c:pt idx="24">
                  <c:v>27.64208303463517</c:v>
                </c:pt>
                <c:pt idx="25">
                  <c:v>30.60137302458714</c:v>
                </c:pt>
                <c:pt idx="26">
                  <c:v>34.05663340391654</c:v>
                </c:pt>
                <c:pt idx="27">
                  <c:v>37.31350562749496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ITA.v.NL1!$J$1:$J$2</c:f>
              <c:strCache>
                <c:ptCount val="1"/>
                <c:pt idx="0">
                  <c:v>Italy, deaths</c:v>
                </c:pt>
              </c:strCache>
            </c:strRef>
          </c:tx>
          <c:spPr>
            <a:ln w="38100" cmpd="sng">
              <a:solidFill>
                <a:srgbClr val="CD212A">
                  <a:alpha val="71000"/>
                </a:srgbClr>
              </a:solidFill>
            </a:ln>
          </c:spPr>
          <c:marker>
            <c:symbol val="none"/>
          </c:marker>
          <c:cat>
            <c:numRef>
              <c:f>ITA.v.NL1!$A$3:$A$36</c:f>
              <c:numCache>
                <c:formatCode>[$-409]d\-mmm;@</c:formatCode>
                <c:ptCount val="34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  <c:pt idx="31">
                  <c:v>43912.0</c:v>
                </c:pt>
                <c:pt idx="32">
                  <c:v>43913.0</c:v>
                </c:pt>
              </c:numCache>
            </c:numRef>
          </c:cat>
          <c:val>
            <c:numRef>
              <c:f>ITA.v.NL1!$J$3:$J$36</c:f>
              <c:numCache>
                <c:formatCode>0.00</c:formatCode>
                <c:ptCount val="34"/>
                <c:pt idx="1">
                  <c:v>0.0165323463125808</c:v>
                </c:pt>
                <c:pt idx="2">
                  <c:v>0.0330646926251617</c:v>
                </c:pt>
                <c:pt idx="3">
                  <c:v>0.0495970389377425</c:v>
                </c:pt>
                <c:pt idx="4">
                  <c:v>0.115726424188066</c:v>
                </c:pt>
                <c:pt idx="5">
                  <c:v>0.165323463125808</c:v>
                </c:pt>
                <c:pt idx="6">
                  <c:v>0.19838815575097</c:v>
                </c:pt>
                <c:pt idx="7">
                  <c:v>0.281049887313874</c:v>
                </c:pt>
                <c:pt idx="8">
                  <c:v>0.347179272564198</c:v>
                </c:pt>
                <c:pt idx="9">
                  <c:v>0.479438043064844</c:v>
                </c:pt>
                <c:pt idx="10">
                  <c:v>0.562099774627749</c:v>
                </c:pt>
                <c:pt idx="11">
                  <c:v>0.859682008254204</c:v>
                </c:pt>
                <c:pt idx="12">
                  <c:v>1.306055358693887</c:v>
                </c:pt>
                <c:pt idx="13">
                  <c:v>1.76896105544615</c:v>
                </c:pt>
                <c:pt idx="14">
                  <c:v>2.446787254261964</c:v>
                </c:pt>
                <c:pt idx="15">
                  <c:v>3.256872223578426</c:v>
                </c:pt>
                <c:pt idx="16">
                  <c:v>3.852036690831336</c:v>
                </c:pt>
                <c:pt idx="17">
                  <c:v>6.050838750404588</c:v>
                </c:pt>
                <c:pt idx="18">
                  <c:v>7.654476342724929</c:v>
                </c:pt>
                <c:pt idx="19">
                  <c:v>10.43191052323851</c:v>
                </c:pt>
                <c:pt idx="20">
                  <c:v>13.67225040050435</c:v>
                </c:pt>
                <c:pt idx="21">
                  <c:v>13.67225040050435</c:v>
                </c:pt>
                <c:pt idx="22">
                  <c:v>20.92995043172735</c:v>
                </c:pt>
                <c:pt idx="23">
                  <c:v>23.82311103642899</c:v>
                </c:pt>
                <c:pt idx="24">
                  <c:v>29.90701447945874</c:v>
                </c:pt>
                <c:pt idx="25">
                  <c:v>35.67680334254945</c:v>
                </c:pt>
                <c:pt idx="26">
                  <c:v>41.38046282038984</c:v>
                </c:pt>
                <c:pt idx="27">
                  <c:v>49.23332731886574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ITA.v.NL1!$L$1:$L$2</c:f>
              <c:strCache>
                <c:ptCount val="1"/>
                <c:pt idx="0">
                  <c:v>Italy, cases</c:v>
                </c:pt>
              </c:strCache>
            </c:strRef>
          </c:tx>
          <c:spPr>
            <a:ln w="25400" cmpd="dbl">
              <a:solidFill>
                <a:srgbClr val="CD212A"/>
              </a:solidFill>
              <a:prstDash val="solid"/>
            </a:ln>
          </c:spPr>
          <c:marker>
            <c:symbol val="none"/>
          </c:marker>
          <c:cat>
            <c:numRef>
              <c:f>ITA.v.NL1!$A$3:$A$34</c:f>
              <c:numCache>
                <c:formatCode>[$-409]d\-mmm;@</c:formatCode>
                <c:ptCount val="32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  <c:pt idx="31">
                  <c:v>43912.0</c:v>
                </c:pt>
              </c:numCache>
            </c:numRef>
          </c:cat>
          <c:val>
            <c:numRef>
              <c:f>ITA.v.NL1!$L$3:$L$34</c:f>
              <c:numCache>
                <c:formatCode>0.00</c:formatCode>
                <c:ptCount val="32"/>
                <c:pt idx="0">
                  <c:v>0.0495970389377425</c:v>
                </c:pt>
                <c:pt idx="1">
                  <c:v>0.330646926251617</c:v>
                </c:pt>
                <c:pt idx="2">
                  <c:v>1.025005471380012</c:v>
                </c:pt>
                <c:pt idx="3">
                  <c:v>2.56251367845003</c:v>
                </c:pt>
                <c:pt idx="4">
                  <c:v>3.785907305581012</c:v>
                </c:pt>
                <c:pt idx="5">
                  <c:v>5.323415512651031</c:v>
                </c:pt>
                <c:pt idx="6">
                  <c:v>7.489152879599121</c:v>
                </c:pt>
                <c:pt idx="7">
                  <c:v>10.82868683474045</c:v>
                </c:pt>
                <c:pt idx="8">
                  <c:v>14.68072352557179</c:v>
                </c:pt>
                <c:pt idx="9">
                  <c:v>18.64848664059119</c:v>
                </c:pt>
                <c:pt idx="10">
                  <c:v>28.00579465351194</c:v>
                </c:pt>
                <c:pt idx="11">
                  <c:v>33.65985709241459</c:v>
                </c:pt>
                <c:pt idx="12">
                  <c:v>41.36393047407726</c:v>
                </c:pt>
                <c:pt idx="13">
                  <c:v>51.06841775956222</c:v>
                </c:pt>
                <c:pt idx="14">
                  <c:v>63.78179207393688</c:v>
                </c:pt>
                <c:pt idx="15">
                  <c:v>76.64395750512477</c:v>
                </c:pt>
                <c:pt idx="16">
                  <c:v>97.25979335691309</c:v>
                </c:pt>
                <c:pt idx="17">
                  <c:v>121.9260540552837</c:v>
                </c:pt>
                <c:pt idx="18">
                  <c:v>151.6346803789915</c:v>
                </c:pt>
                <c:pt idx="19">
                  <c:v>167.786782726383</c:v>
                </c:pt>
                <c:pt idx="20">
                  <c:v>206.0260997473824</c:v>
                </c:pt>
                <c:pt idx="21">
                  <c:v>206.0260997473824</c:v>
                </c:pt>
                <c:pt idx="22">
                  <c:v>291.9612358801776</c:v>
                </c:pt>
                <c:pt idx="23">
                  <c:v>349.7748509352729</c:v>
                </c:pt>
                <c:pt idx="24">
                  <c:v>409.1259741974381</c:v>
                </c:pt>
                <c:pt idx="25">
                  <c:v>462.575049826012</c:v>
                </c:pt>
                <c:pt idx="26">
                  <c:v>520.868102924172</c:v>
                </c:pt>
                <c:pt idx="27">
                  <c:v>590.4196838611996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183512"/>
        <c:axId val="2108186712"/>
      </c:lineChart>
      <c:lineChart>
        <c:grouping val="standard"/>
        <c:varyColors val="0"/>
        <c:ser>
          <c:idx val="1"/>
          <c:order val="0"/>
          <c:tx>
            <c:strRef>
              <c:f>ITA.v.NL1!$U$1:$U$2</c:f>
              <c:strCache>
                <c:ptCount val="1"/>
                <c:pt idx="0">
                  <c:v>NL, hospital patients (80% CI)</c:v>
                </c:pt>
              </c:strCache>
            </c:strRef>
          </c:tx>
          <c:spPr>
            <a:ln w="38100" cmpd="sng">
              <a:solidFill>
                <a:srgbClr val="21468B"/>
              </a:solidFill>
              <a:prstDash val="sysDot"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ITA.v.NL1!$W$3:$W$36</c:f>
                <c:numCache>
                  <c:formatCode>General</c:formatCode>
                  <c:ptCount val="34"/>
                  <c:pt idx="21">
                    <c:v>0.754382</c:v>
                  </c:pt>
                  <c:pt idx="22">
                    <c:v>0.860647</c:v>
                  </c:pt>
                  <c:pt idx="23">
                    <c:v>0.9294371</c:v>
                  </c:pt>
                  <c:pt idx="24">
                    <c:v>1.007642</c:v>
                  </c:pt>
                  <c:pt idx="25">
                    <c:v>1.124329</c:v>
                  </c:pt>
                  <c:pt idx="26">
                    <c:v>1.374162</c:v>
                  </c:pt>
                  <c:pt idx="27">
                    <c:v>1.55627</c:v>
                  </c:pt>
                </c:numCache>
              </c:numRef>
            </c:plus>
            <c:minus>
              <c:numRef>
                <c:f>ITA.v.NL1!$V$3:$V$36</c:f>
                <c:numCache>
                  <c:formatCode>General</c:formatCode>
                  <c:ptCount val="34"/>
                  <c:pt idx="21">
                    <c:v>0.6684756</c:v>
                  </c:pt>
                  <c:pt idx="22">
                    <c:v>0.7752739</c:v>
                  </c:pt>
                  <c:pt idx="23">
                    <c:v>0.8443386</c:v>
                  </c:pt>
                  <c:pt idx="24">
                    <c:v>0.9228062</c:v>
                  </c:pt>
                  <c:pt idx="25">
                    <c:v>1.039814</c:v>
                  </c:pt>
                  <c:pt idx="26">
                    <c:v>1.290139</c:v>
                  </c:pt>
                  <c:pt idx="27">
                    <c:v>1.472502</c:v>
                  </c:pt>
                </c:numCache>
              </c:numRef>
            </c:minus>
            <c:spPr>
              <a:ln w="19050" cmpd="sng">
                <a:solidFill>
                  <a:schemeClr val="accent1">
                    <a:lumMod val="75000"/>
                  </a:schemeClr>
                </a:solidFill>
              </a:ln>
            </c:spPr>
          </c:errBars>
          <c:cat>
            <c:numRef>
              <c:f>ITA.v.NL1!$A$3:$A$33</c:f>
              <c:numCache>
                <c:formatCode>[$-409]d\-mmm;@</c:formatCode>
                <c:ptCount val="31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</c:numCache>
            </c:numRef>
          </c:cat>
          <c:val>
            <c:numRef>
              <c:f>ITA.v.NL1!$U$3:$U$36</c:f>
              <c:numCache>
                <c:formatCode>0.00</c:formatCode>
                <c:ptCount val="34"/>
                <c:pt idx="21">
                  <c:v>4.934687120753514</c:v>
                </c:pt>
                <c:pt idx="22">
                  <c:v>6.59870952193784</c:v>
                </c:pt>
                <c:pt idx="23">
                  <c:v>7.803691260726489</c:v>
                </c:pt>
                <c:pt idx="24">
                  <c:v>9.295573413512436</c:v>
                </c:pt>
                <c:pt idx="25">
                  <c:v>11.76291697388919</c:v>
                </c:pt>
                <c:pt idx="26">
                  <c:v>18.01734599903028</c:v>
                </c:pt>
                <c:pt idx="27">
                  <c:v>23.41107378217947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ITA.v.NL1!$R$1:$R$2</c:f>
              <c:strCache>
                <c:ptCount val="1"/>
                <c:pt idx="0">
                  <c:v>NL, IC patients (80% CI)</c:v>
                </c:pt>
              </c:strCache>
            </c:strRef>
          </c:tx>
          <c:spPr>
            <a:ln w="28575" cmpd="sng">
              <a:solidFill>
                <a:srgbClr val="21468B"/>
              </a:solidFill>
              <a:prstDash val="sysDash"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ITA.v.NL1!$T$3:$T$36</c:f>
                <c:numCache>
                  <c:formatCode>General</c:formatCode>
                  <c:ptCount val="34"/>
                  <c:pt idx="1">
                    <c:v>0.1658124</c:v>
                  </c:pt>
                  <c:pt idx="2">
                    <c:v>0.1658124</c:v>
                  </c:pt>
                  <c:pt idx="3">
                    <c:v>0.1658124</c:v>
                  </c:pt>
                  <c:pt idx="4">
                    <c:v>0.1658124</c:v>
                  </c:pt>
                  <c:pt idx="5">
                    <c:v>0.1658124</c:v>
                  </c:pt>
                  <c:pt idx="6">
                    <c:v>0.1658124</c:v>
                  </c:pt>
                  <c:pt idx="7">
                    <c:v>0.1658124</c:v>
                  </c:pt>
                  <c:pt idx="8">
                    <c:v>0.190635</c:v>
                  </c:pt>
                  <c:pt idx="9">
                    <c:v>0.190635</c:v>
                  </c:pt>
                  <c:pt idx="10">
                    <c:v>0.2112036</c:v>
                  </c:pt>
                  <c:pt idx="11">
                    <c:v>0.2112036</c:v>
                  </c:pt>
                  <c:pt idx="12">
                    <c:v>0.2291524</c:v>
                  </c:pt>
                  <c:pt idx="13">
                    <c:v>0.2737554</c:v>
                  </c:pt>
                  <c:pt idx="14">
                    <c:v>0.2865969</c:v>
                  </c:pt>
                  <c:pt idx="15">
                    <c:v>0.3212206</c:v>
                  </c:pt>
                  <c:pt idx="16">
                    <c:v>0.3418681</c:v>
                  </c:pt>
                  <c:pt idx="17">
                    <c:v>0.3876762</c:v>
                  </c:pt>
                  <c:pt idx="18">
                    <c:v>0.3960674</c:v>
                  </c:pt>
                  <c:pt idx="19">
                    <c:v>0.4567023</c:v>
                  </c:pt>
                  <c:pt idx="20">
                    <c:v>0.5090481</c:v>
                  </c:pt>
                  <c:pt idx="21">
                    <c:v>0.618488</c:v>
                  </c:pt>
                  <c:pt idx="22">
                    <c:v>0.6565775</c:v>
                  </c:pt>
                  <c:pt idx="23">
                    <c:v>0.7302653</c:v>
                  </c:pt>
                  <c:pt idx="24">
                    <c:v>0.8148873</c:v>
                  </c:pt>
                  <c:pt idx="25">
                    <c:v>0.9039005</c:v>
                  </c:pt>
                  <c:pt idx="26">
                    <c:v>0.9663794</c:v>
                  </c:pt>
                  <c:pt idx="27">
                    <c:v>1.004755</c:v>
                  </c:pt>
                </c:numCache>
              </c:numRef>
            </c:plus>
            <c:minus>
              <c:numRef>
                <c:f>ITA.v.NL1!$S$3:$S$36</c:f>
                <c:numCache>
                  <c:formatCode>General</c:formatCode>
                  <c:ptCount val="34"/>
                  <c:pt idx="1">
                    <c:v>0.05133449</c:v>
                  </c:pt>
                  <c:pt idx="2">
                    <c:v>0.05133449</c:v>
                  </c:pt>
                  <c:pt idx="3">
                    <c:v>0.05133449</c:v>
                  </c:pt>
                  <c:pt idx="4">
                    <c:v>0.05133449</c:v>
                  </c:pt>
                  <c:pt idx="5">
                    <c:v>0.05133449</c:v>
                  </c:pt>
                  <c:pt idx="6">
                    <c:v>0.05133449</c:v>
                  </c:pt>
                  <c:pt idx="7">
                    <c:v>0.05133449</c:v>
                  </c:pt>
                  <c:pt idx="8">
                    <c:v>0.08424477</c:v>
                  </c:pt>
                  <c:pt idx="9">
                    <c:v>0.08424477</c:v>
                  </c:pt>
                  <c:pt idx="10">
                    <c:v>0.1089036</c:v>
                  </c:pt>
                  <c:pt idx="11">
                    <c:v>0.1089036</c:v>
                  </c:pt>
                  <c:pt idx="12">
                    <c:v>0.1294053</c:v>
                  </c:pt>
                  <c:pt idx="13">
                    <c:v>0.1781785</c:v>
                  </c:pt>
                  <c:pt idx="14">
                    <c:v>0.1918722</c:v>
                  </c:pt>
                  <c:pt idx="15">
                    <c:v>0.2283299</c:v>
                  </c:pt>
                  <c:pt idx="16">
                    <c:v>0.2498361</c:v>
                  </c:pt>
                  <c:pt idx="17">
                    <c:v>0.2971341</c:v>
                  </c:pt>
                  <c:pt idx="18">
                    <c:v>0.3057511</c:v>
                  </c:pt>
                  <c:pt idx="19">
                    <c:v>0.367719</c:v>
                  </c:pt>
                  <c:pt idx="20">
                    <c:v>0.420913</c:v>
                  </c:pt>
                  <c:pt idx="21">
                    <c:v>0.5315961</c:v>
                  </c:pt>
                  <c:pt idx="22">
                    <c:v>0.5700083</c:v>
                  </c:pt>
                  <c:pt idx="23">
                    <c:v>0.6442139</c:v>
                  </c:pt>
                  <c:pt idx="24">
                    <c:v>0.7293032</c:v>
                  </c:pt>
                  <c:pt idx="25">
                    <c:v>0.8187053</c:v>
                  </c:pt>
                  <c:pt idx="26">
                    <c:v>0.8814109</c:v>
                  </c:pt>
                  <c:pt idx="27">
                    <c:v>0.9199104</c:v>
                  </c:pt>
                </c:numCache>
              </c:numRef>
            </c:minus>
            <c:spPr>
              <a:ln w="19050" cmpd="sng">
                <a:gradFill flip="none" rotWithShape="1">
                  <a:gsLst>
                    <a:gs pos="61000">
                      <a:schemeClr val="tx2">
                        <a:lumMod val="75000"/>
                      </a:schemeClr>
                    </a:gs>
                    <a:gs pos="100000">
                      <a:schemeClr val="accent1">
                        <a:lumMod val="60000"/>
                        <a:lumOff val="40000"/>
                      </a:schemeClr>
                    </a:gs>
                  </a:gsLst>
                  <a:path path="circle">
                    <a:fillToRect l="50000" t="50000" r="50000" b="50000"/>
                  </a:path>
                  <a:tileRect/>
                </a:gradFill>
              </a:ln>
            </c:spPr>
          </c:errBars>
          <c:cat>
            <c:numRef>
              <c:f>ITA.v.NL1!$A$3:$A$33</c:f>
              <c:numCache>
                <c:formatCode>[$-409]d\-mmm;@</c:formatCode>
                <c:ptCount val="31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</c:numCache>
            </c:numRef>
          </c:cat>
          <c:val>
            <c:numRef>
              <c:f>ITA.v.NL1!$R$3:$R$36</c:f>
              <c:numCache>
                <c:formatCode>0.00</c:formatCode>
                <c:ptCount val="34"/>
                <c:pt idx="1">
                  <c:v>0.0573800827994595</c:v>
                </c:pt>
                <c:pt idx="2">
                  <c:v>0.0573800827994595</c:v>
                </c:pt>
                <c:pt idx="3">
                  <c:v>0.0573800827994595</c:v>
                </c:pt>
                <c:pt idx="4">
                  <c:v>0.0573800827994595</c:v>
                </c:pt>
                <c:pt idx="5">
                  <c:v>0.0573800827994595</c:v>
                </c:pt>
                <c:pt idx="6">
                  <c:v>0.0573800827994595</c:v>
                </c:pt>
                <c:pt idx="7">
                  <c:v>0.0573800827994595</c:v>
                </c:pt>
                <c:pt idx="8">
                  <c:v>0.114760165598919</c:v>
                </c:pt>
                <c:pt idx="9">
                  <c:v>0.114760165598919</c:v>
                </c:pt>
                <c:pt idx="10">
                  <c:v>0.172140248398378</c:v>
                </c:pt>
                <c:pt idx="11">
                  <c:v>0.172140248398378</c:v>
                </c:pt>
                <c:pt idx="12">
                  <c:v>0.229520331197838</c:v>
                </c:pt>
                <c:pt idx="13">
                  <c:v>0.401660579596216</c:v>
                </c:pt>
                <c:pt idx="14">
                  <c:v>0.459040662395676</c:v>
                </c:pt>
                <c:pt idx="15">
                  <c:v>0.631180910794054</c:v>
                </c:pt>
                <c:pt idx="16">
                  <c:v>0.745941076392973</c:v>
                </c:pt>
                <c:pt idx="17">
                  <c:v>1.032841490390271</c:v>
                </c:pt>
                <c:pt idx="18">
                  <c:v>1.09022157318973</c:v>
                </c:pt>
                <c:pt idx="19">
                  <c:v>1.549262235585406</c:v>
                </c:pt>
                <c:pt idx="20">
                  <c:v>2.008302897981082</c:v>
                </c:pt>
                <c:pt idx="21">
                  <c:v>3.155904553970271</c:v>
                </c:pt>
                <c:pt idx="22">
                  <c:v>3.614945216365947</c:v>
                </c:pt>
                <c:pt idx="23">
                  <c:v>4.590406623956758</c:v>
                </c:pt>
                <c:pt idx="24">
                  <c:v>5.852768445544866</c:v>
                </c:pt>
                <c:pt idx="25">
                  <c:v>7.344650598330813</c:v>
                </c:pt>
                <c:pt idx="26">
                  <c:v>8.492252254320003</c:v>
                </c:pt>
                <c:pt idx="27">
                  <c:v>9.238193330712976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ITA.v.NL1!$X$1:$X$2</c:f>
              <c:strCache>
                <c:ptCount val="1"/>
                <c:pt idx="0">
                  <c:v>NL, deaths (80% CI)</c:v>
                </c:pt>
              </c:strCache>
            </c:strRef>
          </c:tx>
          <c:spPr>
            <a:ln w="38100" cmpd="sng">
              <a:solidFill>
                <a:srgbClr val="21468B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ITA.v.NL1!$Z$3:$Z$36</c:f>
                <c:numCache>
                  <c:formatCode>General</c:formatCode>
                  <c:ptCount val="34"/>
                  <c:pt idx="15">
                    <c:v>0.1658124</c:v>
                  </c:pt>
                  <c:pt idx="16">
                    <c:v>0.1658124</c:v>
                  </c:pt>
                  <c:pt idx="17">
                    <c:v>0.2112036</c:v>
                  </c:pt>
                  <c:pt idx="18">
                    <c:v>0.2112036</c:v>
                  </c:pt>
                  <c:pt idx="19">
                    <c:v>0.2291524</c:v>
                  </c:pt>
                  <c:pt idx="20">
                    <c:v>0.2452811</c:v>
                  </c:pt>
                  <c:pt idx="21">
                    <c:v>0.2452811</c:v>
                  </c:pt>
                  <c:pt idx="22">
                    <c:v>0.3102334</c:v>
                  </c:pt>
                  <c:pt idx="23">
                    <c:v>0.3317477</c:v>
                  </c:pt>
                  <c:pt idx="24">
                    <c:v>0.4042482</c:v>
                  </c:pt>
                  <c:pt idx="25">
                    <c:v>0.4351449</c:v>
                  </c:pt>
                  <c:pt idx="26">
                    <c:v>0.5557897</c:v>
                  </c:pt>
                  <c:pt idx="27">
                    <c:v>0.6330734</c:v>
                  </c:pt>
                </c:numCache>
              </c:numRef>
            </c:plus>
            <c:minus>
              <c:numRef>
                <c:f>ITA.v.NL1!$Y$3:$Y$38</c:f>
                <c:numCache>
                  <c:formatCode>General</c:formatCode>
                  <c:ptCount val="36"/>
                  <c:pt idx="15">
                    <c:v>0.05133449</c:v>
                  </c:pt>
                  <c:pt idx="16">
                    <c:v>0.05133449</c:v>
                  </c:pt>
                  <c:pt idx="17">
                    <c:v>0.1089036</c:v>
                  </c:pt>
                  <c:pt idx="18">
                    <c:v>0.1089036</c:v>
                  </c:pt>
                  <c:pt idx="19">
                    <c:v>0.1294053</c:v>
                  </c:pt>
                  <c:pt idx="20">
                    <c:v>0.1473181</c:v>
                  </c:pt>
                  <c:pt idx="21">
                    <c:v>0.1473181</c:v>
                  </c:pt>
                  <c:pt idx="22">
                    <c:v>0.2168218</c:v>
                  </c:pt>
                  <c:pt idx="23">
                    <c:v>0.2393127</c:v>
                  </c:pt>
                  <c:pt idx="24">
                    <c:v>0.3141408</c:v>
                  </c:pt>
                  <c:pt idx="25">
                    <c:v>0.3457398</c:v>
                  </c:pt>
                  <c:pt idx="26">
                    <c:v>0.4682551</c:v>
                  </c:pt>
                  <c:pt idx="27">
                    <c:v>0.5463103</c:v>
                  </c:pt>
                </c:numCache>
              </c:numRef>
            </c:minus>
            <c:spPr>
              <a:ln w="19050" cmpd="sng">
                <a:gradFill flip="none" rotWithShape="1">
                  <a:gsLst>
                    <a:gs pos="36000">
                      <a:schemeClr val="tx2">
                        <a:lumMod val="75000"/>
                      </a:schemeClr>
                    </a:gs>
                    <a:gs pos="100000">
                      <a:schemeClr val="accent1">
                        <a:lumMod val="60000"/>
                        <a:lumOff val="40000"/>
                      </a:schemeClr>
                    </a:gs>
                  </a:gsLst>
                  <a:path path="circle">
                    <a:fillToRect l="50000" t="50000" r="50000" b="50000"/>
                  </a:path>
                  <a:tileRect/>
                </a:gradFill>
              </a:ln>
            </c:spPr>
          </c:errBars>
          <c:cat>
            <c:numRef>
              <c:f>ITA.v.NL1!$A$3:$A$33</c:f>
              <c:numCache>
                <c:formatCode>[$-409]d\-mmm;@</c:formatCode>
                <c:ptCount val="31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</c:numCache>
            </c:numRef>
          </c:cat>
          <c:val>
            <c:numRef>
              <c:f>ITA.v.NL1!$X$3:$X$36</c:f>
              <c:numCache>
                <c:formatCode>0.00</c:formatCode>
                <c:ptCount val="34"/>
                <c:pt idx="15">
                  <c:v>0.0573800827994595</c:v>
                </c:pt>
                <c:pt idx="16">
                  <c:v>0.0573800827994595</c:v>
                </c:pt>
                <c:pt idx="17">
                  <c:v>0.172140248398378</c:v>
                </c:pt>
                <c:pt idx="18">
                  <c:v>0.172140248398378</c:v>
                </c:pt>
                <c:pt idx="19">
                  <c:v>0.229520331197838</c:v>
                </c:pt>
                <c:pt idx="20">
                  <c:v>0.286900413997297</c:v>
                </c:pt>
                <c:pt idx="21">
                  <c:v>0.286900413997297</c:v>
                </c:pt>
                <c:pt idx="22">
                  <c:v>0.573800827994595</c:v>
                </c:pt>
                <c:pt idx="23">
                  <c:v>0.688560993593514</c:v>
                </c:pt>
                <c:pt idx="24">
                  <c:v>1.147601655989189</c:v>
                </c:pt>
                <c:pt idx="25">
                  <c:v>1.377121987187027</c:v>
                </c:pt>
                <c:pt idx="26">
                  <c:v>2.467343560376757</c:v>
                </c:pt>
                <c:pt idx="27">
                  <c:v>3.32804480236865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ITA.v.NL1!$AA$1:$AA$2</c:f>
              <c:strCache>
                <c:ptCount val="1"/>
                <c:pt idx="0">
                  <c:v>Netherlands, cases</c:v>
                </c:pt>
              </c:strCache>
            </c:strRef>
          </c:tx>
          <c:spPr>
            <a:ln w="25400" cmpd="dbl">
              <a:solidFill>
                <a:srgbClr val="21468B"/>
              </a:solidFill>
            </a:ln>
          </c:spPr>
          <c:marker>
            <c:symbol val="none"/>
          </c:marker>
          <c:cat>
            <c:numRef>
              <c:f>ITA.v.NL1!$A$3:$A$33</c:f>
              <c:numCache>
                <c:formatCode>[$-409]d\-mmm;@</c:formatCode>
                <c:ptCount val="31"/>
                <c:pt idx="0">
                  <c:v>43881.0</c:v>
                </c:pt>
                <c:pt idx="1">
                  <c:v>43882.0</c:v>
                </c:pt>
                <c:pt idx="2">
                  <c:v>43883.0</c:v>
                </c:pt>
                <c:pt idx="3">
                  <c:v>43884.0</c:v>
                </c:pt>
                <c:pt idx="4">
                  <c:v>43885.0</c:v>
                </c:pt>
                <c:pt idx="5">
                  <c:v>43886.0</c:v>
                </c:pt>
                <c:pt idx="6">
                  <c:v>43887.0</c:v>
                </c:pt>
                <c:pt idx="7">
                  <c:v>43888.0</c:v>
                </c:pt>
                <c:pt idx="8">
                  <c:v>43889.0</c:v>
                </c:pt>
                <c:pt idx="9">
                  <c:v>43890.0</c:v>
                </c:pt>
                <c:pt idx="10">
                  <c:v>43891.0</c:v>
                </c:pt>
                <c:pt idx="11">
                  <c:v>43892.0</c:v>
                </c:pt>
                <c:pt idx="12">
                  <c:v>43893.0</c:v>
                </c:pt>
                <c:pt idx="13">
                  <c:v>43894.0</c:v>
                </c:pt>
                <c:pt idx="14">
                  <c:v>43895.0</c:v>
                </c:pt>
                <c:pt idx="15">
                  <c:v>43896.0</c:v>
                </c:pt>
                <c:pt idx="16">
                  <c:v>43897.0</c:v>
                </c:pt>
                <c:pt idx="17">
                  <c:v>43898.0</c:v>
                </c:pt>
                <c:pt idx="18">
                  <c:v>43899.0</c:v>
                </c:pt>
                <c:pt idx="19">
                  <c:v>43900.0</c:v>
                </c:pt>
                <c:pt idx="20">
                  <c:v>43901.0</c:v>
                </c:pt>
                <c:pt idx="21">
                  <c:v>43902.0</c:v>
                </c:pt>
                <c:pt idx="22">
                  <c:v>43903.0</c:v>
                </c:pt>
                <c:pt idx="23">
                  <c:v>43904.0</c:v>
                </c:pt>
                <c:pt idx="24">
                  <c:v>43905.0</c:v>
                </c:pt>
                <c:pt idx="25">
                  <c:v>43906.0</c:v>
                </c:pt>
                <c:pt idx="26">
                  <c:v>43907.0</c:v>
                </c:pt>
                <c:pt idx="27">
                  <c:v>43908.0</c:v>
                </c:pt>
                <c:pt idx="28">
                  <c:v>43909.0</c:v>
                </c:pt>
                <c:pt idx="29">
                  <c:v>43910.0</c:v>
                </c:pt>
                <c:pt idx="30">
                  <c:v>43911.0</c:v>
                </c:pt>
              </c:numCache>
            </c:numRef>
          </c:cat>
          <c:val>
            <c:numRef>
              <c:f>ITA.v.NL1!$AA$3:$AA$33</c:f>
              <c:numCache>
                <c:formatCode>0.00</c:formatCode>
                <c:ptCount val="31"/>
                <c:pt idx="7">
                  <c:v>0.0573800827994595</c:v>
                </c:pt>
                <c:pt idx="8">
                  <c:v>0.0573800827994595</c:v>
                </c:pt>
                <c:pt idx="9">
                  <c:v>0.344280496796757</c:v>
                </c:pt>
                <c:pt idx="10">
                  <c:v>0.573800827994595</c:v>
                </c:pt>
                <c:pt idx="11">
                  <c:v>1.032841490390271</c:v>
                </c:pt>
                <c:pt idx="12">
                  <c:v>1.377121987187027</c:v>
                </c:pt>
                <c:pt idx="13">
                  <c:v>2.18044314637946</c:v>
                </c:pt>
                <c:pt idx="14">
                  <c:v>4.705166789555676</c:v>
                </c:pt>
                <c:pt idx="15">
                  <c:v>7.344650598330813</c:v>
                </c:pt>
                <c:pt idx="16">
                  <c:v>10.78745556629838</c:v>
                </c:pt>
                <c:pt idx="17">
                  <c:v>15.20572194185676</c:v>
                </c:pt>
                <c:pt idx="18">
                  <c:v>18.41900657862649</c:v>
                </c:pt>
                <c:pt idx="19">
                  <c:v>21.91919162939352</c:v>
                </c:pt>
                <c:pt idx="20">
                  <c:v>28.86218164812812</c:v>
                </c:pt>
                <c:pt idx="21">
                  <c:v>35.23137083886812</c:v>
                </c:pt>
                <c:pt idx="22">
                  <c:v>46.13358657076542</c:v>
                </c:pt>
                <c:pt idx="23">
                  <c:v>55.02749940468164</c:v>
                </c:pt>
                <c:pt idx="24">
                  <c:v>65.12639397738651</c:v>
                </c:pt>
                <c:pt idx="25">
                  <c:v>81.07805699563625</c:v>
                </c:pt>
                <c:pt idx="26">
                  <c:v>97.83304117307841</c:v>
                </c:pt>
                <c:pt idx="27">
                  <c:v>117.6865498216914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196856"/>
        <c:axId val="2108193496"/>
      </c:lineChart>
      <c:dateAx>
        <c:axId val="2108183512"/>
        <c:scaling>
          <c:orientation val="minMax"/>
          <c:max val="43910.0"/>
          <c:min val="43876.0"/>
        </c:scaling>
        <c:delete val="0"/>
        <c:axPos val="b"/>
        <c:numFmt formatCode="[$-409]d\-mmm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400" b="1" i="0">
                <a:solidFill>
                  <a:srgbClr val="CD212A"/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8186712"/>
        <c:crossesAt val="0.015625"/>
        <c:auto val="1"/>
        <c:lblOffset val="100"/>
        <c:baseTimeUnit val="days"/>
      </c:dateAx>
      <c:valAx>
        <c:axId val="2108186712"/>
        <c:scaling>
          <c:logBase val="2.0"/>
          <c:orientation val="minMax"/>
          <c:max val="1024.0"/>
          <c:min val="0.015625"/>
        </c:scaling>
        <c:delete val="0"/>
        <c:axPos val="r"/>
        <c:majorGridlines>
          <c:spPr>
            <a:ln w="3175" cmpd="sng">
              <a:solidFill>
                <a:schemeClr val="tx1">
                  <a:tint val="75000"/>
                  <a:shade val="95000"/>
                  <a:satMod val="105000"/>
                  <a:alpha val="4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 b="0" i="0">
                    <a:latin typeface="Helvetica Neue Light"/>
                    <a:cs typeface="Helvetica Neue Light"/>
                  </a:defRPr>
                </a:pPr>
                <a:r>
                  <a:rPr lang="en-US" sz="1600" b="0" i="0">
                    <a:latin typeface="Helvetica Neue Light"/>
                    <a:cs typeface="Helvetica Neue Light"/>
                  </a:rPr>
                  <a:t>patients</a:t>
                </a:r>
                <a:r>
                  <a:rPr lang="en-US" sz="1600" b="0" i="0" baseline="0">
                    <a:latin typeface="Helvetica Neue Light"/>
                    <a:cs typeface="Helvetica Neue Light"/>
                  </a:rPr>
                  <a:t> per 1M inhabitants</a:t>
                </a:r>
                <a:endParaRPr lang="en-US" sz="1600" b="0" i="0">
                  <a:latin typeface="Helvetica Neue Light"/>
                  <a:cs typeface="Helvetica Neue Light"/>
                </a:endParaRPr>
              </a:p>
            </c:rich>
          </c:tx>
          <c:layout>
            <c:manualLayout>
              <c:xMode val="edge"/>
              <c:yMode val="edge"/>
              <c:x val="0.924301675977654"/>
              <c:y val="0.376751968503937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algn="r">
              <a:defRPr sz="1400" b="1">
                <a:latin typeface="Helvetica Neue Light"/>
                <a:cs typeface="Helvetica Neue Light"/>
              </a:defRPr>
            </a:pPr>
            <a:endParaRPr lang="en-US"/>
          </a:p>
        </c:txPr>
        <c:crossAx val="2108183512"/>
        <c:crosses val="max"/>
        <c:crossBetween val="between"/>
      </c:valAx>
      <c:valAx>
        <c:axId val="2108193496"/>
        <c:scaling>
          <c:logBase val="2.0"/>
          <c:orientation val="minMax"/>
          <c:max val="1024.0"/>
          <c:min val="0.015625"/>
        </c:scaling>
        <c:delete val="0"/>
        <c:axPos val="r"/>
        <c:numFmt formatCode="0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108196856"/>
        <c:crosses val="max"/>
        <c:crossBetween val="between"/>
      </c:valAx>
      <c:dateAx>
        <c:axId val="2108196856"/>
        <c:scaling>
          <c:orientation val="minMax"/>
          <c:max val="43922.0"/>
          <c:min val="43888.0"/>
        </c:scaling>
        <c:delete val="0"/>
        <c:axPos val="b"/>
        <c:numFmt formatCode="[$-409]d\-mmm;@" sourceLinked="1"/>
        <c:majorTickMark val="in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1400" b="1" i="0">
                <a:solidFill>
                  <a:srgbClr val="21468B"/>
                </a:solidFill>
                <a:latin typeface="Helvetica Neue Light"/>
                <a:cs typeface="Helvetica Neue Light"/>
              </a:defRPr>
            </a:pPr>
            <a:endParaRPr lang="en-US"/>
          </a:p>
        </c:txPr>
        <c:crossAx val="2108193496"/>
        <c:crossesAt val="0.015625"/>
        <c:auto val="1"/>
        <c:lblOffset val="100"/>
        <c:baseTimeUnit val="days"/>
      </c:dateAx>
    </c:plotArea>
    <c:legend>
      <c:legendPos val="t"/>
      <c:layout>
        <c:manualLayout>
          <c:xMode val="edge"/>
          <c:yMode val="edge"/>
          <c:x val="0.00148839541124775"/>
          <c:y val="0.165540540540541"/>
          <c:w val="0.921895136071331"/>
          <c:h val="0.0777709353053841"/>
        </c:manualLayout>
      </c:layout>
      <c:overlay val="0"/>
      <c:spPr>
        <a:solidFill>
          <a:srgbClr val="FFFFFF"/>
        </a:solidFill>
      </c:spPr>
      <c:txPr>
        <a:bodyPr/>
        <a:lstStyle/>
        <a:p>
          <a:pPr>
            <a:defRPr sz="1100" b="0" i="0">
              <a:latin typeface="Helvetica Neue Light"/>
              <a:cs typeface="Helvetica Neue Light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0</xdr:row>
      <xdr:rowOff>25400</xdr:rowOff>
    </xdr:from>
    <xdr:to>
      <xdr:col>24</xdr:col>
      <xdr:colOff>152400</xdr:colOff>
      <xdr:row>43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63500</xdr:rowOff>
    </xdr:from>
    <xdr:to>
      <xdr:col>11</xdr:col>
      <xdr:colOff>622300</xdr:colOff>
      <xdr:row>28</xdr:row>
      <xdr:rowOff>139700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749300</xdr:colOff>
      <xdr:row>0</xdr:row>
      <xdr:rowOff>25400</xdr:rowOff>
    </xdr:from>
    <xdr:to>
      <xdr:col>23</xdr:col>
      <xdr:colOff>368300</xdr:colOff>
      <xdr:row>29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16</xdr:row>
      <xdr:rowOff>88900</xdr:rowOff>
    </xdr:from>
    <xdr:to>
      <xdr:col>24</xdr:col>
      <xdr:colOff>254000</xdr:colOff>
      <xdr:row>44</xdr:row>
      <xdr:rowOff>25400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63500</xdr:colOff>
      <xdr:row>16</xdr:row>
      <xdr:rowOff>63500</xdr:rowOff>
    </xdr:from>
    <xdr:to>
      <xdr:col>36</xdr:col>
      <xdr:colOff>88900</xdr:colOff>
      <xdr:row>44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266700</xdr:colOff>
      <xdr:row>23</xdr:row>
      <xdr:rowOff>101600</xdr:rowOff>
    </xdr:from>
    <xdr:to>
      <xdr:col>13</xdr:col>
      <xdr:colOff>736600</xdr:colOff>
      <xdr:row>51</xdr:row>
      <xdr:rowOff>38100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0</xdr:rowOff>
    </xdr:from>
    <xdr:to>
      <xdr:col>15</xdr:col>
      <xdr:colOff>152400</xdr:colOff>
      <xdr:row>43</xdr:row>
      <xdr:rowOff>139700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uronews.com/2020/03/12/coronavirus-italy-doctors-forced-to-prioritise-icu-care-for-patients-with-best-chance-of-s" TargetMode="External"/><Relationship Id="rId4" Type="http://schemas.openxmlformats.org/officeDocument/2006/relationships/hyperlink" Target="https://www.nejm.org/doi/full/10.1056/NEJMoa2002032" TargetMode="External"/><Relationship Id="rId5" Type="http://schemas.openxmlformats.org/officeDocument/2006/relationships/hyperlink" Target="https://nos.nl/artikel/2327182-acht-nieuwe-coronadoden-162-mensen-opgenomen-in-ziekenhuis.html" TargetMode="External"/><Relationship Id="rId6" Type="http://schemas.openxmlformats.org/officeDocument/2006/relationships/hyperlink" Target="https://www.medrxiv.org/content/10.1101/2020.03.04.20031104v1.full.pdf" TargetMode="External"/><Relationship Id="rId1" Type="http://schemas.openxmlformats.org/officeDocument/2006/relationships/hyperlink" Target="https://www.cbs.nl/en-gb/visualisaties/population-counter" TargetMode="External"/><Relationship Id="rId2" Type="http://schemas.openxmlformats.org/officeDocument/2006/relationships/hyperlink" Target="https://nos.nl/nieuwsuur/artikel/2327338-50-tot-60-procent-nederlanders-moet-corona-krijgen-voor-groepsimmuniteit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38"/>
  <sheetViews>
    <sheetView showRuler="0" workbookViewId="0">
      <selection activeCell="I13" sqref="I13"/>
    </sheetView>
  </sheetViews>
  <sheetFormatPr baseColWidth="10" defaultRowHeight="15" x14ac:dyDescent="0"/>
  <cols>
    <col min="7" max="7" width="10.83203125" style="2"/>
  </cols>
  <sheetData>
    <row r="1" spans="1:7">
      <c r="A1" t="s">
        <v>0</v>
      </c>
      <c r="B1" t="s">
        <v>114</v>
      </c>
      <c r="C1" t="s">
        <v>116</v>
      </c>
      <c r="D1" t="s">
        <v>115</v>
      </c>
      <c r="E1" t="s">
        <v>117</v>
      </c>
      <c r="F1" t="s">
        <v>118</v>
      </c>
      <c r="G1" s="2" t="s">
        <v>119</v>
      </c>
    </row>
    <row r="2" spans="1:7">
      <c r="A2" t="s">
        <v>92</v>
      </c>
      <c r="B2">
        <v>696</v>
      </c>
      <c r="C2">
        <v>705</v>
      </c>
      <c r="D2">
        <v>696</v>
      </c>
      <c r="E2">
        <v>696</v>
      </c>
      <c r="F2">
        <v>0.99816623448087893</v>
      </c>
      <c r="G2" s="2">
        <v>-1.8337655191210667E-3</v>
      </c>
    </row>
    <row r="3" spans="1:7">
      <c r="A3" t="s">
        <v>126</v>
      </c>
      <c r="B3">
        <v>13148</v>
      </c>
      <c r="C3">
        <v>13033</v>
      </c>
      <c r="D3">
        <v>13117</v>
      </c>
      <c r="E3">
        <v>13098</v>
      </c>
      <c r="F3">
        <v>1.0009182064771867</v>
      </c>
      <c r="G3" s="2">
        <v>9.1820647718665604E-4</v>
      </c>
    </row>
    <row r="4" spans="1:7">
      <c r="A4" t="s">
        <v>127</v>
      </c>
      <c r="B4">
        <v>67773</v>
      </c>
      <c r="C4">
        <v>67103</v>
      </c>
      <c r="D4">
        <v>67743</v>
      </c>
      <c r="E4">
        <v>67592</v>
      </c>
      <c r="F4">
        <v>1.0013569742891906</v>
      </c>
      <c r="G4" s="2">
        <v>1.3569742891905712E-3</v>
      </c>
    </row>
    <row r="5" spans="1:7">
      <c r="A5" t="s">
        <v>122</v>
      </c>
      <c r="B5">
        <v>48</v>
      </c>
      <c r="C5">
        <v>41</v>
      </c>
      <c r="D5">
        <v>45</v>
      </c>
      <c r="E5">
        <v>45</v>
      </c>
      <c r="F5">
        <v>1.0133874519631996</v>
      </c>
      <c r="G5" s="2">
        <v>1.338745196319957E-2</v>
      </c>
    </row>
    <row r="6" spans="1:7">
      <c r="A6" t="s">
        <v>25</v>
      </c>
      <c r="B6">
        <v>72</v>
      </c>
      <c r="C6">
        <v>56</v>
      </c>
      <c r="D6">
        <v>64</v>
      </c>
      <c r="E6">
        <v>58</v>
      </c>
      <c r="F6">
        <v>1.0192590209271797</v>
      </c>
      <c r="G6" s="2">
        <v>1.9259020927179682E-2</v>
      </c>
    </row>
    <row r="7" spans="1:7">
      <c r="A7" t="s">
        <v>1</v>
      </c>
      <c r="B7">
        <v>59</v>
      </c>
      <c r="C7">
        <v>43</v>
      </c>
      <c r="D7">
        <v>50</v>
      </c>
      <c r="E7">
        <v>48</v>
      </c>
      <c r="F7">
        <v>1.0217799210000151</v>
      </c>
      <c r="G7" s="2">
        <v>2.1779921000015134E-2</v>
      </c>
    </row>
    <row r="8" spans="1:7">
      <c r="A8" t="s">
        <v>3</v>
      </c>
      <c r="B8">
        <v>178</v>
      </c>
      <c r="C8">
        <v>108</v>
      </c>
      <c r="D8">
        <v>150</v>
      </c>
      <c r="E8">
        <v>130</v>
      </c>
      <c r="F8">
        <v>1.0480477548069631</v>
      </c>
      <c r="G8" s="2">
        <v>4.8047754806963106E-2</v>
      </c>
    </row>
    <row r="9" spans="1:7">
      <c r="A9" t="s">
        <v>125</v>
      </c>
      <c r="B9">
        <v>7755</v>
      </c>
      <c r="C9">
        <v>4335</v>
      </c>
      <c r="D9">
        <v>7478</v>
      </c>
      <c r="E9">
        <v>6593</v>
      </c>
      <c r="F9">
        <v>1.0810058676411354</v>
      </c>
      <c r="G9" s="2">
        <v>8.1005867641135376E-2</v>
      </c>
    </row>
    <row r="10" spans="1:7">
      <c r="A10" t="s">
        <v>2</v>
      </c>
      <c r="B10">
        <v>639</v>
      </c>
      <c r="C10">
        <v>274</v>
      </c>
      <c r="D10">
        <v>511</v>
      </c>
      <c r="E10">
        <v>420</v>
      </c>
      <c r="F10">
        <v>1.0931183657321537</v>
      </c>
      <c r="G10" s="2">
        <v>9.3118365732153707E-2</v>
      </c>
    </row>
    <row r="11" spans="1:7">
      <c r="A11" t="s">
        <v>24</v>
      </c>
      <c r="B11">
        <v>195</v>
      </c>
      <c r="C11">
        <v>49</v>
      </c>
      <c r="D11">
        <v>95</v>
      </c>
      <c r="E11">
        <v>60</v>
      </c>
      <c r="F11">
        <v>1.0991965604654153</v>
      </c>
      <c r="G11" s="2">
        <v>9.9196560465415251E-2</v>
      </c>
    </row>
    <row r="12" spans="1:7">
      <c r="A12" t="s">
        <v>124</v>
      </c>
      <c r="B12">
        <v>74</v>
      </c>
      <c r="C12">
        <v>21</v>
      </c>
      <c r="D12">
        <v>45</v>
      </c>
      <c r="E12">
        <v>29</v>
      </c>
      <c r="F12">
        <v>1.1150253613874961</v>
      </c>
      <c r="G12" s="2">
        <v>0.11502536138749608</v>
      </c>
    </row>
    <row r="13" spans="1:7">
      <c r="A13" t="s">
        <v>128</v>
      </c>
      <c r="B13">
        <v>46628</v>
      </c>
      <c r="C13">
        <v>17206</v>
      </c>
      <c r="D13">
        <v>37285</v>
      </c>
      <c r="E13">
        <v>27303</v>
      </c>
      <c r="F13">
        <v>1.1168096954000581</v>
      </c>
      <c r="G13" s="2">
        <v>0.11680969540005814</v>
      </c>
    </row>
    <row r="14" spans="1:7">
      <c r="A14" t="s">
        <v>21</v>
      </c>
      <c r="B14">
        <v>71</v>
      </c>
      <c r="C14">
        <v>26</v>
      </c>
      <c r="D14">
        <v>60</v>
      </c>
      <c r="E14">
        <v>40</v>
      </c>
      <c r="F14">
        <v>1.1268926790965919</v>
      </c>
      <c r="G14" s="2">
        <v>0.12689267909659185</v>
      </c>
    </row>
    <row r="15" spans="1:7">
      <c r="A15" t="s">
        <v>20</v>
      </c>
      <c r="B15">
        <v>61</v>
      </c>
      <c r="C15">
        <v>13</v>
      </c>
      <c r="D15">
        <v>32</v>
      </c>
      <c r="E15">
        <v>22</v>
      </c>
      <c r="F15">
        <v>1.1373304345357735</v>
      </c>
      <c r="G15" s="2">
        <v>0.13733043453577354</v>
      </c>
    </row>
    <row r="16" spans="1:7">
      <c r="A16" t="s">
        <v>6</v>
      </c>
      <c r="B16">
        <v>108</v>
      </c>
      <c r="C16">
        <v>27</v>
      </c>
      <c r="D16">
        <v>77</v>
      </c>
      <c r="E16">
        <v>49</v>
      </c>
      <c r="F16">
        <v>1.1614971200230155</v>
      </c>
      <c r="G16" s="2">
        <v>0.16149712002301553</v>
      </c>
    </row>
    <row r="17" spans="1:7">
      <c r="A17" t="s">
        <v>7</v>
      </c>
      <c r="B17">
        <v>128</v>
      </c>
      <c r="C17">
        <v>30</v>
      </c>
      <c r="D17">
        <v>91</v>
      </c>
      <c r="E17">
        <v>60</v>
      </c>
      <c r="F17">
        <v>1.1717790631266842</v>
      </c>
      <c r="G17" s="2">
        <v>0.17177906312668423</v>
      </c>
    </row>
    <row r="18" spans="1:7">
      <c r="A18" t="s">
        <v>5</v>
      </c>
      <c r="B18">
        <v>149</v>
      </c>
      <c r="C18">
        <v>29</v>
      </c>
      <c r="D18">
        <v>117</v>
      </c>
      <c r="E18">
        <v>83</v>
      </c>
      <c r="F18">
        <v>1.2205093854814715</v>
      </c>
      <c r="G18" s="2">
        <v>0.22050938548147148</v>
      </c>
    </row>
    <row r="19" spans="1:7">
      <c r="A19" t="s">
        <v>40</v>
      </c>
      <c r="B19">
        <v>62</v>
      </c>
      <c r="C19">
        <v>8</v>
      </c>
      <c r="D19">
        <v>36</v>
      </c>
      <c r="E19">
        <v>21</v>
      </c>
      <c r="F19">
        <v>1.2396984933656168</v>
      </c>
      <c r="G19" s="2">
        <v>0.23969849336561677</v>
      </c>
    </row>
    <row r="20" spans="1:7">
      <c r="A20" t="s">
        <v>15</v>
      </c>
      <c r="B20">
        <v>12462</v>
      </c>
      <c r="C20">
        <v>2036</v>
      </c>
      <c r="D20">
        <v>9172</v>
      </c>
      <c r="E20">
        <v>4636</v>
      </c>
      <c r="F20">
        <v>1.2398917011790016</v>
      </c>
      <c r="G20" s="2">
        <v>0.2398917011790016</v>
      </c>
    </row>
    <row r="21" spans="1:7">
      <c r="A21" t="s">
        <v>97</v>
      </c>
      <c r="B21">
        <v>9000</v>
      </c>
      <c r="C21">
        <v>1501</v>
      </c>
      <c r="D21">
        <v>7161</v>
      </c>
      <c r="E21">
        <v>4747</v>
      </c>
      <c r="F21">
        <v>1.2500916505336941</v>
      </c>
      <c r="G21" s="2">
        <v>0.25009165053369409</v>
      </c>
    </row>
    <row r="22" spans="1:7">
      <c r="A22" t="s">
        <v>30</v>
      </c>
      <c r="B22">
        <v>109</v>
      </c>
      <c r="C22">
        <v>10</v>
      </c>
      <c r="D22">
        <v>61</v>
      </c>
      <c r="E22">
        <v>37</v>
      </c>
      <c r="F22">
        <v>1.2947620943025893</v>
      </c>
      <c r="G22" s="2">
        <v>0.29476209430258926</v>
      </c>
    </row>
    <row r="23" spans="1:7">
      <c r="A23" t="s">
        <v>99</v>
      </c>
      <c r="B23">
        <v>2284</v>
      </c>
      <c r="C23">
        <v>191</v>
      </c>
      <c r="D23">
        <v>1212</v>
      </c>
      <c r="E23">
        <v>656</v>
      </c>
      <c r="F23">
        <v>1.3020823879730694</v>
      </c>
      <c r="G23" s="2">
        <v>0.30208238797306941</v>
      </c>
    </row>
    <row r="24" spans="1:7">
      <c r="A24" t="s">
        <v>29</v>
      </c>
      <c r="B24">
        <v>246</v>
      </c>
      <c r="C24">
        <v>18</v>
      </c>
      <c r="D24">
        <v>131</v>
      </c>
      <c r="E24">
        <v>55</v>
      </c>
      <c r="F24">
        <v>1.3278306353900122</v>
      </c>
      <c r="G24" s="2">
        <v>0.32783063539001223</v>
      </c>
    </row>
    <row r="25" spans="1:7">
      <c r="A25" t="s">
        <v>10</v>
      </c>
      <c r="B25">
        <v>1908</v>
      </c>
      <c r="C25">
        <v>159</v>
      </c>
      <c r="D25">
        <v>1176</v>
      </c>
      <c r="E25">
        <v>670</v>
      </c>
      <c r="F25">
        <v>1.3308965948901896</v>
      </c>
      <c r="G25" s="2">
        <v>0.33089659489018963</v>
      </c>
    </row>
    <row r="26" spans="1:7">
      <c r="A26" t="s">
        <v>100</v>
      </c>
      <c r="B26">
        <v>459</v>
      </c>
      <c r="C26">
        <v>40</v>
      </c>
      <c r="D26">
        <v>322</v>
      </c>
      <c r="E26">
        <v>163</v>
      </c>
      <c r="F26">
        <v>1.3470986828012173</v>
      </c>
      <c r="G26" s="2">
        <v>0.34709868280121725</v>
      </c>
    </row>
    <row r="27" spans="1:7">
      <c r="A27" t="s">
        <v>36</v>
      </c>
      <c r="B27">
        <v>598</v>
      </c>
      <c r="C27">
        <v>25</v>
      </c>
      <c r="D27">
        <v>205</v>
      </c>
      <c r="E27">
        <v>108</v>
      </c>
      <c r="F27">
        <v>1.3506562608315249</v>
      </c>
      <c r="G27" s="2">
        <v>0.3506562608315249</v>
      </c>
    </row>
    <row r="28" spans="1:7">
      <c r="A28" t="s">
        <v>14</v>
      </c>
      <c r="B28">
        <v>62</v>
      </c>
      <c r="C28">
        <v>5</v>
      </c>
      <c r="D28">
        <v>43</v>
      </c>
      <c r="E28">
        <v>31</v>
      </c>
      <c r="F28">
        <v>1.3598774704960335</v>
      </c>
      <c r="G28" s="2">
        <v>0.35987747049603347</v>
      </c>
    </row>
    <row r="29" spans="1:7">
      <c r="A29" t="s">
        <v>28</v>
      </c>
      <c r="B29">
        <v>652</v>
      </c>
      <c r="C29">
        <v>42</v>
      </c>
      <c r="D29">
        <v>374</v>
      </c>
      <c r="E29">
        <v>214</v>
      </c>
      <c r="F29">
        <v>1.3666595178152687</v>
      </c>
      <c r="G29" s="2">
        <v>0.36665951781526873</v>
      </c>
    </row>
    <row r="30" spans="1:7">
      <c r="A30" t="s">
        <v>17</v>
      </c>
      <c r="B30">
        <v>2277</v>
      </c>
      <c r="C30">
        <v>120</v>
      </c>
      <c r="D30">
        <v>1073</v>
      </c>
      <c r="E30">
        <v>400</v>
      </c>
      <c r="F30">
        <v>1.3674672219356654</v>
      </c>
      <c r="G30" s="2">
        <v>0.36746722193566539</v>
      </c>
    </row>
    <row r="31" spans="1:7">
      <c r="A31" t="s">
        <v>42</v>
      </c>
      <c r="B31">
        <v>85</v>
      </c>
      <c r="C31">
        <v>6</v>
      </c>
      <c r="D31">
        <v>58</v>
      </c>
      <c r="E31">
        <v>43</v>
      </c>
      <c r="F31">
        <v>1.3827823275063933</v>
      </c>
      <c r="G31" s="2">
        <v>0.38278232750639329</v>
      </c>
    </row>
    <row r="32" spans="1:7">
      <c r="A32" t="s">
        <v>34</v>
      </c>
      <c r="B32">
        <v>99</v>
      </c>
      <c r="C32">
        <v>7</v>
      </c>
      <c r="D32">
        <v>73</v>
      </c>
      <c r="E32">
        <v>45</v>
      </c>
      <c r="F32">
        <v>1.3978503791508121</v>
      </c>
      <c r="G32" s="2">
        <v>0.39785037915081212</v>
      </c>
    </row>
    <row r="33" spans="1:10">
      <c r="A33" t="s">
        <v>16</v>
      </c>
      <c r="B33">
        <v>500</v>
      </c>
      <c r="C33">
        <v>15</v>
      </c>
      <c r="D33">
        <v>248</v>
      </c>
      <c r="E33">
        <v>101</v>
      </c>
      <c r="F33">
        <v>1.4929714018937494</v>
      </c>
      <c r="G33" s="2">
        <v>0.49297140189374944</v>
      </c>
    </row>
    <row r="34" spans="1:10">
      <c r="A34" t="s">
        <v>123</v>
      </c>
      <c r="B34">
        <v>503</v>
      </c>
      <c r="C34">
        <v>18</v>
      </c>
      <c r="D34">
        <v>321</v>
      </c>
      <c r="E34">
        <v>128</v>
      </c>
      <c r="F34">
        <v>1.5092024581605989</v>
      </c>
      <c r="G34" s="2">
        <v>0.50920245816059895</v>
      </c>
    </row>
    <row r="35" spans="1:10">
      <c r="A35" t="s">
        <v>101</v>
      </c>
      <c r="B35">
        <v>444</v>
      </c>
      <c r="C35">
        <v>4</v>
      </c>
      <c r="D35">
        <v>92</v>
      </c>
      <c r="E35">
        <v>24</v>
      </c>
      <c r="F35">
        <v>1.5650656079602396</v>
      </c>
      <c r="G35" s="2">
        <v>0.56506560796023964</v>
      </c>
    </row>
    <row r="36" spans="1:10">
      <c r="A36" t="s">
        <v>18</v>
      </c>
      <c r="B36">
        <v>314</v>
      </c>
      <c r="C36">
        <v>8</v>
      </c>
      <c r="D36">
        <v>239</v>
      </c>
      <c r="E36">
        <v>109</v>
      </c>
      <c r="F36">
        <v>1.6246442335419626</v>
      </c>
      <c r="G36" s="2">
        <v>0.62464423354196263</v>
      </c>
    </row>
    <row r="37" spans="1:10">
      <c r="A37" t="s">
        <v>121</v>
      </c>
      <c r="G37" s="2">
        <v>0</v>
      </c>
      <c r="H37">
        <v>0</v>
      </c>
      <c r="I37">
        <v>0.05</v>
      </c>
      <c r="J37">
        <f>SQRT(2)-1</f>
        <v>0.41421356237309515</v>
      </c>
    </row>
    <row r="38" spans="1:10">
      <c r="A38" t="s">
        <v>120</v>
      </c>
      <c r="G38" s="2">
        <v>1</v>
      </c>
      <c r="H38">
        <v>1</v>
      </c>
      <c r="I38">
        <v>0.05</v>
      </c>
      <c r="J38">
        <f>SQRT(2)-1</f>
        <v>0.41421356237309515</v>
      </c>
    </row>
  </sheetData>
  <sortState ref="A2:G36">
    <sortCondition ref="G2"/>
  </sortState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 enableFormatConditionsCalculation="0"/>
  <dimension ref="A1:BS127"/>
  <sheetViews>
    <sheetView showRuler="0" workbookViewId="0">
      <pane xSplit="1" topLeftCell="B1" activePane="topRight" state="frozen"/>
      <selection pane="topRight" activeCell="AG130" sqref="AG130"/>
    </sheetView>
  </sheetViews>
  <sheetFormatPr baseColWidth="10" defaultRowHeight="15" x14ac:dyDescent="0"/>
  <cols>
    <col min="3" max="18" width="0" hidden="1" customWidth="1"/>
    <col min="19" max="19" width="10.83203125" hidden="1" customWidth="1"/>
    <col min="20" max="20" width="10.6640625" hidden="1" customWidth="1"/>
    <col min="21" max="31" width="0" hidden="1" customWidth="1"/>
    <col min="48" max="48" width="10.83203125" style="6"/>
    <col min="49" max="53" width="10.83203125" customWidth="1"/>
    <col min="54" max="54" width="10.83203125" style="6" customWidth="1"/>
    <col min="55" max="55" width="10.83203125" style="8" customWidth="1"/>
    <col min="56" max="60" width="10.83203125" customWidth="1"/>
    <col min="61" max="61" width="10.83203125" style="8" customWidth="1"/>
    <col min="62" max="62" width="10.83203125" style="6" customWidth="1"/>
    <col min="63" max="69" width="10.83203125" style="8"/>
    <col min="70" max="70" width="10.83203125" style="6"/>
    <col min="71" max="71" width="10.83203125" style="8"/>
  </cols>
  <sheetData>
    <row r="1" spans="1:71">
      <c r="A1" t="s">
        <v>148</v>
      </c>
      <c r="B1" t="s">
        <v>0</v>
      </c>
      <c r="C1" s="4">
        <v>43852</v>
      </c>
      <c r="D1" s="4">
        <v>43853</v>
      </c>
      <c r="E1" s="4">
        <v>43854</v>
      </c>
      <c r="F1" s="4">
        <v>43855</v>
      </c>
      <c r="G1" s="4">
        <v>43856</v>
      </c>
      <c r="H1" s="4">
        <v>43857</v>
      </c>
      <c r="I1" s="4">
        <v>43858</v>
      </c>
      <c r="J1" s="4">
        <v>43859</v>
      </c>
      <c r="K1" s="4">
        <v>43860</v>
      </c>
      <c r="L1" s="4">
        <v>43861</v>
      </c>
      <c r="M1" s="4">
        <v>43862</v>
      </c>
      <c r="N1" s="4">
        <v>43863</v>
      </c>
      <c r="O1" s="4">
        <v>43864</v>
      </c>
      <c r="P1" s="4">
        <v>43865</v>
      </c>
      <c r="Q1" s="4">
        <v>43866</v>
      </c>
      <c r="R1" s="4">
        <v>43867</v>
      </c>
      <c r="S1" s="4">
        <v>43868</v>
      </c>
      <c r="T1" s="4">
        <v>43869</v>
      </c>
      <c r="U1" s="4">
        <v>43870</v>
      </c>
      <c r="V1" s="4">
        <v>43871</v>
      </c>
      <c r="W1" s="4">
        <v>43872</v>
      </c>
      <c r="X1" s="4">
        <v>43873</v>
      </c>
      <c r="Y1" s="4">
        <v>43874</v>
      </c>
      <c r="Z1" s="4">
        <v>43875</v>
      </c>
      <c r="AA1" s="4">
        <v>43876</v>
      </c>
      <c r="AB1" s="4">
        <v>43877</v>
      </c>
      <c r="AC1" s="4">
        <v>43878</v>
      </c>
      <c r="AD1" s="4">
        <v>43879</v>
      </c>
      <c r="AE1" s="4">
        <v>43880</v>
      </c>
      <c r="AF1" s="4">
        <v>43881</v>
      </c>
      <c r="AG1" s="4">
        <v>43882</v>
      </c>
      <c r="AH1" s="4">
        <v>43883</v>
      </c>
      <c r="AI1" s="4">
        <v>43884</v>
      </c>
      <c r="AJ1" s="4">
        <v>43885</v>
      </c>
      <c r="AK1" s="4">
        <v>43886</v>
      </c>
      <c r="AL1" s="4">
        <v>43887</v>
      </c>
      <c r="AM1" s="4">
        <v>43888</v>
      </c>
      <c r="AN1" s="4">
        <v>43889</v>
      </c>
      <c r="AO1" s="4">
        <v>43890</v>
      </c>
      <c r="AP1" s="4">
        <v>43891</v>
      </c>
      <c r="AQ1" s="4">
        <v>43892</v>
      </c>
      <c r="AR1" s="4">
        <v>43893</v>
      </c>
      <c r="AS1" s="4">
        <v>43894</v>
      </c>
      <c r="AT1" s="4">
        <v>43895</v>
      </c>
      <c r="AU1" s="4">
        <v>43896</v>
      </c>
      <c r="AV1" s="5">
        <v>43897</v>
      </c>
      <c r="AW1" s="4">
        <v>43898</v>
      </c>
      <c r="AX1" s="4">
        <v>43899</v>
      </c>
      <c r="AY1" s="4">
        <v>43900</v>
      </c>
      <c r="AZ1" s="4">
        <v>43901</v>
      </c>
      <c r="BA1" s="4">
        <v>43902</v>
      </c>
      <c r="BB1" s="5">
        <v>43903</v>
      </c>
      <c r="BC1" s="4">
        <v>43897</v>
      </c>
      <c r="BD1" s="4">
        <v>43898</v>
      </c>
      <c r="BE1" s="4">
        <v>43899</v>
      </c>
      <c r="BF1" s="4">
        <v>43900</v>
      </c>
      <c r="BG1" s="4">
        <v>43901</v>
      </c>
      <c r="BH1" s="4">
        <v>43902</v>
      </c>
      <c r="BI1" s="7">
        <v>43903</v>
      </c>
      <c r="BJ1" s="5">
        <v>43904</v>
      </c>
      <c r="BK1" s="7">
        <v>43897</v>
      </c>
      <c r="BL1" s="7">
        <v>43898</v>
      </c>
      <c r="BM1" s="7">
        <v>43899</v>
      </c>
      <c r="BN1" s="7">
        <v>43900</v>
      </c>
      <c r="BO1" s="7">
        <v>43901</v>
      </c>
      <c r="BP1" s="7">
        <v>43902</v>
      </c>
      <c r="BQ1" s="7">
        <v>43903</v>
      </c>
      <c r="BR1" s="5">
        <v>43904</v>
      </c>
    </row>
    <row r="2" spans="1:71" ht="15" hidden="1" customHeight="1">
      <c r="A2" t="s">
        <v>149</v>
      </c>
      <c r="B2" t="s">
        <v>23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 s="6">
        <v>1</v>
      </c>
      <c r="AW2">
        <v>4</v>
      </c>
      <c r="AX2">
        <v>4</v>
      </c>
      <c r="AY2">
        <v>5</v>
      </c>
      <c r="AZ2">
        <v>7</v>
      </c>
      <c r="BA2">
        <v>7</v>
      </c>
      <c r="BB2" s="6">
        <v>7</v>
      </c>
      <c r="BC2" s="8">
        <f>AV2</f>
        <v>1</v>
      </c>
      <c r="BD2">
        <f t="shared" ref="BD2:BJ2" si="0">BC2*($AV2/$AU2)</f>
        <v>1</v>
      </c>
      <c r="BE2">
        <f t="shared" si="0"/>
        <v>1</v>
      </c>
      <c r="BF2">
        <f t="shared" si="0"/>
        <v>1</v>
      </c>
      <c r="BG2">
        <f t="shared" si="0"/>
        <v>1</v>
      </c>
      <c r="BH2">
        <f t="shared" si="0"/>
        <v>1</v>
      </c>
      <c r="BI2" s="8">
        <f t="shared" si="0"/>
        <v>1</v>
      </c>
      <c r="BJ2" s="6">
        <f t="shared" si="0"/>
        <v>1</v>
      </c>
      <c r="BK2" s="8">
        <f>AV2</f>
        <v>1</v>
      </c>
      <c r="BL2" s="9">
        <f t="shared" ref="BL2:BR2" si="1">BK2*($AV2/$AP2)^(1/7)</f>
        <v>1</v>
      </c>
      <c r="BM2" s="9">
        <f t="shared" si="1"/>
        <v>1</v>
      </c>
      <c r="BN2" s="9">
        <f t="shared" si="1"/>
        <v>1</v>
      </c>
      <c r="BO2" s="9">
        <f t="shared" si="1"/>
        <v>1</v>
      </c>
      <c r="BP2" s="9">
        <f t="shared" si="1"/>
        <v>1</v>
      </c>
      <c r="BQ2" s="9">
        <f t="shared" si="1"/>
        <v>1</v>
      </c>
      <c r="BR2" s="10">
        <f t="shared" si="1"/>
        <v>1</v>
      </c>
    </row>
    <row r="3" spans="1:71" ht="15" hidden="1" customHeight="1">
      <c r="A3" t="s">
        <v>149</v>
      </c>
      <c r="B3" t="s">
        <v>88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 s="6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 s="6">
        <v>33</v>
      </c>
      <c r="BI3"/>
      <c r="BJ3"/>
      <c r="BK3"/>
      <c r="BL3"/>
      <c r="BM3"/>
      <c r="BN3"/>
      <c r="BO3"/>
      <c r="BP3"/>
      <c r="BQ3"/>
      <c r="BR3"/>
      <c r="BS3"/>
    </row>
    <row r="4" spans="1:71" ht="15" hidden="1" customHeight="1">
      <c r="A4" t="s">
        <v>149</v>
      </c>
      <c r="B4" t="s">
        <v>26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 s="6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 s="6">
        <v>26</v>
      </c>
      <c r="BC4" s="8">
        <f>AV4</f>
        <v>17</v>
      </c>
      <c r="BD4">
        <f t="shared" ref="BD4:BJ5" si="2">BC4*($AV4/$AU4)</f>
        <v>17</v>
      </c>
      <c r="BE4">
        <f t="shared" si="2"/>
        <v>17</v>
      </c>
      <c r="BF4">
        <f t="shared" si="2"/>
        <v>17</v>
      </c>
      <c r="BG4">
        <f t="shared" si="2"/>
        <v>17</v>
      </c>
      <c r="BH4">
        <f t="shared" si="2"/>
        <v>17</v>
      </c>
      <c r="BI4" s="8">
        <f t="shared" si="2"/>
        <v>17</v>
      </c>
      <c r="BJ4" s="6">
        <f t="shared" si="2"/>
        <v>17</v>
      </c>
      <c r="BK4" s="8">
        <f>AV4</f>
        <v>17</v>
      </c>
      <c r="BL4" s="9">
        <f t="shared" ref="BL4:BR5" si="3">BK4*($AV4/$AP4)^(1/7)</f>
        <v>25.481637825216552</v>
      </c>
      <c r="BM4" s="9">
        <f t="shared" si="3"/>
        <v>38.194933309147466</v>
      </c>
      <c r="BN4" s="9">
        <f t="shared" si="3"/>
        <v>57.251144549529158</v>
      </c>
      <c r="BO4" s="9">
        <f t="shared" si="3"/>
        <v>85.814878264130755</v>
      </c>
      <c r="BP4" s="9">
        <f t="shared" si="3"/>
        <v>128.62962634950753</v>
      </c>
      <c r="BQ4" s="9">
        <f t="shared" si="3"/>
        <v>192.80550307241666</v>
      </c>
      <c r="BR4" s="10">
        <f t="shared" si="3"/>
        <v>288.99999999999994</v>
      </c>
    </row>
    <row r="5" spans="1:71" ht="15" hidden="1" customHeight="1">
      <c r="A5" t="s">
        <v>149</v>
      </c>
      <c r="B5" t="s">
        <v>57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 s="6">
        <v>1</v>
      </c>
      <c r="AW5">
        <v>1</v>
      </c>
      <c r="AX5">
        <v>1</v>
      </c>
      <c r="AY5">
        <v>1</v>
      </c>
      <c r="AZ5">
        <v>1</v>
      </c>
      <c r="BA5">
        <v>1</v>
      </c>
      <c r="BB5" s="6">
        <v>1</v>
      </c>
      <c r="BC5" s="8">
        <f>AV5</f>
        <v>1</v>
      </c>
      <c r="BD5">
        <f t="shared" si="2"/>
        <v>1</v>
      </c>
      <c r="BE5">
        <f t="shared" si="2"/>
        <v>1</v>
      </c>
      <c r="BF5">
        <f t="shared" si="2"/>
        <v>1</v>
      </c>
      <c r="BG5">
        <f t="shared" si="2"/>
        <v>1</v>
      </c>
      <c r="BH5">
        <f t="shared" si="2"/>
        <v>1</v>
      </c>
      <c r="BI5" s="8">
        <f t="shared" si="2"/>
        <v>1</v>
      </c>
      <c r="BJ5" s="6">
        <f t="shared" si="2"/>
        <v>1</v>
      </c>
      <c r="BK5" s="8">
        <f>AV5</f>
        <v>1</v>
      </c>
      <c r="BL5" s="9" t="e">
        <f t="shared" si="3"/>
        <v>#DIV/0!</v>
      </c>
      <c r="BM5" s="9" t="e">
        <f t="shared" si="3"/>
        <v>#DIV/0!</v>
      </c>
      <c r="BN5" s="9" t="e">
        <f t="shared" si="3"/>
        <v>#DIV/0!</v>
      </c>
      <c r="BO5" s="9" t="e">
        <f t="shared" si="3"/>
        <v>#DIV/0!</v>
      </c>
      <c r="BP5" s="9" t="e">
        <f t="shared" si="3"/>
        <v>#DIV/0!</v>
      </c>
      <c r="BQ5" s="9" t="e">
        <f t="shared" si="3"/>
        <v>#DIV/0!</v>
      </c>
      <c r="BR5" s="10" t="e">
        <f t="shared" si="3"/>
        <v>#DIV/0!</v>
      </c>
    </row>
    <row r="6" spans="1:71" ht="15" hidden="1" customHeight="1">
      <c r="A6" t="s">
        <v>149</v>
      </c>
      <c r="B6" t="s">
        <v>139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s="6">
        <v>0</v>
      </c>
      <c r="AW6">
        <v>0</v>
      </c>
      <c r="AX6">
        <v>0</v>
      </c>
      <c r="AY6">
        <v>0</v>
      </c>
      <c r="AZ6">
        <v>0</v>
      </c>
      <c r="BA6">
        <v>0</v>
      </c>
      <c r="BB6" s="6">
        <v>1</v>
      </c>
      <c r="BI6"/>
      <c r="BJ6"/>
      <c r="BK6"/>
      <c r="BL6"/>
      <c r="BM6"/>
      <c r="BN6"/>
      <c r="BO6"/>
      <c r="BP6"/>
      <c r="BQ6"/>
      <c r="BR6"/>
      <c r="BS6"/>
    </row>
    <row r="7" spans="1:71" ht="15" hidden="1" customHeight="1">
      <c r="A7" t="s">
        <v>149</v>
      </c>
      <c r="B7" t="s">
        <v>62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1</v>
      </c>
      <c r="AS7">
        <v>1</v>
      </c>
      <c r="AT7">
        <v>1</v>
      </c>
      <c r="AU7">
        <v>2</v>
      </c>
      <c r="AV7" s="6">
        <v>8</v>
      </c>
      <c r="AW7">
        <v>12</v>
      </c>
      <c r="AX7">
        <v>12</v>
      </c>
      <c r="AY7">
        <v>17</v>
      </c>
      <c r="AZ7">
        <v>19</v>
      </c>
      <c r="BA7">
        <v>19</v>
      </c>
      <c r="BB7" s="6">
        <v>31</v>
      </c>
      <c r="BC7" s="8">
        <f>AV7</f>
        <v>8</v>
      </c>
      <c r="BD7">
        <f t="shared" ref="BD7:BJ8" si="4">BC7*($AV7/$AU7)</f>
        <v>32</v>
      </c>
      <c r="BE7">
        <f t="shared" si="4"/>
        <v>128</v>
      </c>
      <c r="BF7">
        <f t="shared" si="4"/>
        <v>512</v>
      </c>
      <c r="BG7">
        <f t="shared" si="4"/>
        <v>2048</v>
      </c>
      <c r="BH7">
        <f t="shared" si="4"/>
        <v>8192</v>
      </c>
      <c r="BI7" s="8">
        <f t="shared" si="4"/>
        <v>32768</v>
      </c>
      <c r="BJ7" s="6">
        <f t="shared" si="4"/>
        <v>131072</v>
      </c>
      <c r="BK7" s="8">
        <f>AV7</f>
        <v>8</v>
      </c>
      <c r="BL7" s="9" t="e">
        <f t="shared" ref="BL7:BR8" si="5">BK7*($AV7/$AP7)^(1/7)</f>
        <v>#DIV/0!</v>
      </c>
      <c r="BM7" s="9" t="e">
        <f t="shared" si="5"/>
        <v>#DIV/0!</v>
      </c>
      <c r="BN7" s="9" t="e">
        <f t="shared" si="5"/>
        <v>#DIV/0!</v>
      </c>
      <c r="BO7" s="9" t="e">
        <f t="shared" si="5"/>
        <v>#DIV/0!</v>
      </c>
      <c r="BP7" s="9" t="e">
        <f t="shared" si="5"/>
        <v>#DIV/0!</v>
      </c>
      <c r="BQ7" s="9" t="e">
        <f t="shared" si="5"/>
        <v>#DIV/0!</v>
      </c>
      <c r="BR7" s="10" t="e">
        <f t="shared" si="5"/>
        <v>#DIV/0!</v>
      </c>
    </row>
    <row r="8" spans="1:71" ht="15" hidden="1" customHeight="1">
      <c r="A8" t="s">
        <v>149</v>
      </c>
      <c r="B8" t="s">
        <v>53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 s="6">
        <v>1</v>
      </c>
      <c r="AW8">
        <v>1</v>
      </c>
      <c r="AX8">
        <v>1</v>
      </c>
      <c r="AY8">
        <v>1</v>
      </c>
      <c r="AZ8">
        <v>1</v>
      </c>
      <c r="BA8">
        <v>4</v>
      </c>
      <c r="BB8" s="6">
        <v>8</v>
      </c>
      <c r="BC8" s="8">
        <f>AV8</f>
        <v>1</v>
      </c>
      <c r="BD8">
        <f t="shared" si="4"/>
        <v>1</v>
      </c>
      <c r="BE8">
        <f t="shared" si="4"/>
        <v>1</v>
      </c>
      <c r="BF8">
        <f t="shared" si="4"/>
        <v>1</v>
      </c>
      <c r="BG8">
        <f t="shared" si="4"/>
        <v>1</v>
      </c>
      <c r="BH8">
        <f t="shared" si="4"/>
        <v>1</v>
      </c>
      <c r="BI8" s="8">
        <f t="shared" si="4"/>
        <v>1</v>
      </c>
      <c r="BJ8" s="6">
        <f t="shared" si="4"/>
        <v>1</v>
      </c>
      <c r="BK8" s="8">
        <f>AV8</f>
        <v>1</v>
      </c>
      <c r="BL8" s="9">
        <f t="shared" si="5"/>
        <v>1</v>
      </c>
      <c r="BM8" s="9">
        <f t="shared" si="5"/>
        <v>1</v>
      </c>
      <c r="BN8" s="9">
        <f t="shared" si="5"/>
        <v>1</v>
      </c>
      <c r="BO8" s="9">
        <f t="shared" si="5"/>
        <v>1</v>
      </c>
      <c r="BP8" s="9">
        <f t="shared" si="5"/>
        <v>1</v>
      </c>
      <c r="BQ8" s="9">
        <f t="shared" si="5"/>
        <v>1</v>
      </c>
      <c r="BR8" s="10">
        <f t="shared" si="5"/>
        <v>1</v>
      </c>
    </row>
    <row r="9" spans="1:71" ht="15" hidden="1" customHeight="1">
      <c r="A9" t="s">
        <v>149</v>
      </c>
      <c r="B9" t="s">
        <v>137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s="6">
        <v>0</v>
      </c>
      <c r="AW9">
        <v>0</v>
      </c>
      <c r="AX9">
        <v>0</v>
      </c>
      <c r="AY9">
        <v>0</v>
      </c>
      <c r="AZ9">
        <v>0</v>
      </c>
      <c r="BA9">
        <v>0</v>
      </c>
      <c r="BB9" s="6">
        <v>2</v>
      </c>
      <c r="BI9"/>
      <c r="BJ9"/>
      <c r="BK9"/>
      <c r="BL9"/>
      <c r="BM9"/>
      <c r="BN9"/>
      <c r="BO9"/>
      <c r="BP9"/>
      <c r="BQ9"/>
      <c r="BR9"/>
      <c r="BS9"/>
    </row>
    <row r="10" spans="1:71" ht="15" customHeight="1">
      <c r="A10">
        <v>3</v>
      </c>
      <c r="B10" t="s">
        <v>144</v>
      </c>
      <c r="C10">
        <v>0</v>
      </c>
      <c r="D10">
        <v>0</v>
      </c>
      <c r="E10">
        <v>0</v>
      </c>
      <c r="F10">
        <v>0</v>
      </c>
      <c r="G10">
        <v>4</v>
      </c>
      <c r="H10">
        <v>5</v>
      </c>
      <c r="I10">
        <v>5</v>
      </c>
      <c r="J10">
        <v>6</v>
      </c>
      <c r="K10">
        <v>9</v>
      </c>
      <c r="L10">
        <v>9</v>
      </c>
      <c r="M10">
        <v>12</v>
      </c>
      <c r="N10">
        <v>12</v>
      </c>
      <c r="O10">
        <v>12</v>
      </c>
      <c r="P10">
        <v>13</v>
      </c>
      <c r="Q10">
        <v>13</v>
      </c>
      <c r="R10">
        <v>14</v>
      </c>
      <c r="S10">
        <v>15</v>
      </c>
      <c r="T10">
        <v>15</v>
      </c>
      <c r="U10">
        <v>15</v>
      </c>
      <c r="V10">
        <v>15</v>
      </c>
      <c r="W10">
        <v>15</v>
      </c>
      <c r="X10">
        <v>15</v>
      </c>
      <c r="Y10">
        <v>15</v>
      </c>
      <c r="Z10">
        <v>15</v>
      </c>
      <c r="AA10">
        <v>15</v>
      </c>
      <c r="AB10">
        <v>15</v>
      </c>
      <c r="AC10">
        <v>15</v>
      </c>
      <c r="AD10">
        <v>15</v>
      </c>
      <c r="AE10">
        <v>15</v>
      </c>
      <c r="AF10">
        <v>15</v>
      </c>
      <c r="AG10">
        <v>15</v>
      </c>
      <c r="AH10">
        <v>15</v>
      </c>
      <c r="AI10">
        <v>15</v>
      </c>
      <c r="AJ10">
        <v>15</v>
      </c>
      <c r="AK10">
        <v>15</v>
      </c>
      <c r="AL10">
        <v>15</v>
      </c>
      <c r="AM10">
        <v>15</v>
      </c>
      <c r="AN10">
        <v>15</v>
      </c>
      <c r="AO10">
        <v>25</v>
      </c>
      <c r="AP10">
        <v>27</v>
      </c>
      <c r="AQ10">
        <v>30</v>
      </c>
      <c r="AR10">
        <v>39</v>
      </c>
      <c r="AS10">
        <v>52</v>
      </c>
      <c r="AT10">
        <v>55</v>
      </c>
      <c r="AU10">
        <v>60</v>
      </c>
      <c r="AV10" s="6">
        <v>63</v>
      </c>
      <c r="AW10">
        <v>76</v>
      </c>
      <c r="AX10">
        <v>91</v>
      </c>
      <c r="AY10">
        <v>107</v>
      </c>
      <c r="AZ10">
        <v>128</v>
      </c>
      <c r="BA10">
        <v>128</v>
      </c>
      <c r="BB10" s="6">
        <v>200</v>
      </c>
      <c r="BC10" s="8">
        <f>AV10</f>
        <v>63</v>
      </c>
      <c r="BD10">
        <f t="shared" ref="BD10:BJ13" si="6">BC10*($AV10/$AU10)</f>
        <v>66.150000000000006</v>
      </c>
      <c r="BE10">
        <f t="shared" si="6"/>
        <v>69.45750000000001</v>
      </c>
      <c r="BF10">
        <f t="shared" si="6"/>
        <v>72.930375000000012</v>
      </c>
      <c r="BG10">
        <f t="shared" si="6"/>
        <v>76.576893750000011</v>
      </c>
      <c r="BH10">
        <f t="shared" si="6"/>
        <v>80.40573843750002</v>
      </c>
      <c r="BI10" s="8">
        <f t="shared" si="6"/>
        <v>84.426025359375018</v>
      </c>
      <c r="BJ10" s="6">
        <f t="shared" si="6"/>
        <v>88.647326627343773</v>
      </c>
      <c r="BK10" s="8">
        <f>AV10</f>
        <v>63</v>
      </c>
      <c r="BL10" s="9">
        <f>BK10*($AV10/$AS10)^(1/3)</f>
        <v>67.161381055651191</v>
      </c>
      <c r="BM10" s="9">
        <f t="shared" ref="BM10:BR10" si="7">BL10*($AV10/$AS10)^(1/3)</f>
        <v>71.59763659210131</v>
      </c>
      <c r="BN10" s="9">
        <f t="shared" si="7"/>
        <v>76.326923076923038</v>
      </c>
      <c r="BO10" s="9">
        <f t="shared" si="7"/>
        <v>81.368596278961988</v>
      </c>
      <c r="BP10" s="9">
        <f t="shared" si="7"/>
        <v>86.743290486584257</v>
      </c>
      <c r="BQ10" s="9">
        <f t="shared" si="7"/>
        <v>92.473002958579812</v>
      </c>
      <c r="BR10" s="9">
        <f t="shared" si="7"/>
        <v>98.581183953357765</v>
      </c>
    </row>
    <row r="11" spans="1:71" hidden="1">
      <c r="A11" t="s">
        <v>149</v>
      </c>
      <c r="B11" t="s">
        <v>29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2</v>
      </c>
      <c r="AL11">
        <v>2</v>
      </c>
      <c r="AM11">
        <v>3</v>
      </c>
      <c r="AN11">
        <v>3</v>
      </c>
      <c r="AO11">
        <v>9</v>
      </c>
      <c r="AP11">
        <v>14</v>
      </c>
      <c r="AQ11">
        <v>18</v>
      </c>
      <c r="AR11">
        <v>21</v>
      </c>
      <c r="AS11">
        <v>29</v>
      </c>
      <c r="AT11">
        <v>41</v>
      </c>
      <c r="AU11">
        <v>55</v>
      </c>
      <c r="AV11" s="6">
        <v>79</v>
      </c>
      <c r="AW11">
        <v>104</v>
      </c>
      <c r="AX11">
        <v>131</v>
      </c>
      <c r="AY11">
        <v>182</v>
      </c>
      <c r="AZ11">
        <v>246</v>
      </c>
      <c r="BA11">
        <v>302</v>
      </c>
      <c r="BB11" s="6">
        <v>504</v>
      </c>
      <c r="BC11" s="8">
        <f>AV11</f>
        <v>79</v>
      </c>
      <c r="BD11">
        <f t="shared" si="6"/>
        <v>113.47272727272727</v>
      </c>
      <c r="BE11">
        <f t="shared" si="6"/>
        <v>162.98809917355371</v>
      </c>
      <c r="BF11">
        <f t="shared" si="6"/>
        <v>234.11017881292258</v>
      </c>
      <c r="BG11">
        <f t="shared" si="6"/>
        <v>336.26734774947062</v>
      </c>
      <c r="BH11">
        <f t="shared" si="6"/>
        <v>483.00219040378505</v>
      </c>
      <c r="BI11" s="8">
        <f t="shared" si="6"/>
        <v>693.76678257998208</v>
      </c>
      <c r="BJ11" s="6">
        <f t="shared" si="6"/>
        <v>996.50137861488327</v>
      </c>
      <c r="BK11" s="8">
        <f>AV11</f>
        <v>79</v>
      </c>
      <c r="BL11" s="9">
        <f>BK11*($AV11/$AR11)^(1/4)</f>
        <v>110.02187461436158</v>
      </c>
      <c r="BM11" s="9">
        <f t="shared" ref="BM11:BR11" si="8">BL11*($AV11/$AR11)^(1/4)</f>
        <v>153.22547966656077</v>
      </c>
      <c r="BN11" s="9">
        <f t="shared" si="8"/>
        <v>213.39436090632606</v>
      </c>
      <c r="BO11" s="9">
        <f t="shared" si="8"/>
        <v>297.19047619047626</v>
      </c>
      <c r="BP11" s="9">
        <f t="shared" si="8"/>
        <v>413.89181402545552</v>
      </c>
      <c r="BQ11" s="9">
        <f t="shared" si="8"/>
        <v>576.41966160277627</v>
      </c>
      <c r="BR11" s="9">
        <f t="shared" si="8"/>
        <v>802.76926245713139</v>
      </c>
    </row>
    <row r="12" spans="1:71" ht="15" hidden="1" customHeight="1">
      <c r="A12" t="s">
        <v>149</v>
      </c>
      <c r="B12" t="s">
        <v>52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3</v>
      </c>
      <c r="AQ12">
        <v>3</v>
      </c>
      <c r="AR12">
        <v>3</v>
      </c>
      <c r="AS12">
        <v>3</v>
      </c>
      <c r="AT12">
        <v>6</v>
      </c>
      <c r="AU12">
        <v>6</v>
      </c>
      <c r="AV12" s="6">
        <v>9</v>
      </c>
      <c r="AW12">
        <v>9</v>
      </c>
      <c r="AX12">
        <v>9</v>
      </c>
      <c r="AY12">
        <v>11</v>
      </c>
      <c r="AZ12">
        <v>11</v>
      </c>
      <c r="BA12">
        <v>11</v>
      </c>
      <c r="BB12" s="6">
        <v>15</v>
      </c>
      <c r="BC12" s="8">
        <f>AV12</f>
        <v>9</v>
      </c>
      <c r="BD12">
        <f t="shared" si="6"/>
        <v>13.5</v>
      </c>
      <c r="BE12">
        <f t="shared" si="6"/>
        <v>20.25</v>
      </c>
      <c r="BF12">
        <f t="shared" si="6"/>
        <v>30.375</v>
      </c>
      <c r="BG12">
        <f t="shared" si="6"/>
        <v>45.5625</v>
      </c>
      <c r="BH12">
        <f t="shared" si="6"/>
        <v>68.34375</v>
      </c>
      <c r="BI12" s="8">
        <f t="shared" si="6"/>
        <v>102.515625</v>
      </c>
      <c r="BJ12" s="6">
        <f t="shared" si="6"/>
        <v>153.7734375</v>
      </c>
      <c r="BK12" s="8">
        <f>AV12</f>
        <v>9</v>
      </c>
      <c r="BL12" s="9">
        <f t="shared" ref="BL12:BR12" si="9">BK12*($AV12/$AP12)^(1/7)</f>
        <v>10.529377314828182</v>
      </c>
      <c r="BM12" s="9">
        <f t="shared" si="9"/>
        <v>12.318642959779815</v>
      </c>
      <c r="BN12" s="9">
        <f t="shared" si="9"/>
        <v>14.411959970019277</v>
      </c>
      <c r="BO12" s="9">
        <f t="shared" si="9"/>
        <v>16.860996041170313</v>
      </c>
      <c r="BP12" s="9">
        <f t="shared" si="9"/>
        <v>19.726198802367389</v>
      </c>
      <c r="BQ12" s="9">
        <f t="shared" si="9"/>
        <v>23.078287797493115</v>
      </c>
      <c r="BR12" s="10">
        <f t="shared" si="9"/>
        <v>27.000000000000007</v>
      </c>
    </row>
    <row r="13" spans="1:71" ht="15" customHeight="1">
      <c r="A13">
        <v>3</v>
      </c>
      <c r="B13" t="s">
        <v>24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23</v>
      </c>
      <c r="AL13">
        <v>33</v>
      </c>
      <c r="AM13">
        <v>33</v>
      </c>
      <c r="AN13">
        <v>36</v>
      </c>
      <c r="AO13">
        <v>41</v>
      </c>
      <c r="AP13">
        <v>47</v>
      </c>
      <c r="AQ13">
        <v>49</v>
      </c>
      <c r="AR13">
        <v>49</v>
      </c>
      <c r="AS13">
        <v>52</v>
      </c>
      <c r="AT13">
        <v>55</v>
      </c>
      <c r="AU13">
        <v>60</v>
      </c>
      <c r="AV13" s="6">
        <v>85</v>
      </c>
      <c r="AW13">
        <v>85</v>
      </c>
      <c r="AX13">
        <v>95</v>
      </c>
      <c r="AY13">
        <v>110</v>
      </c>
      <c r="AZ13">
        <v>195</v>
      </c>
      <c r="BA13">
        <v>195</v>
      </c>
      <c r="BB13" s="6">
        <v>189</v>
      </c>
      <c r="BC13" s="8">
        <f>AV13</f>
        <v>85</v>
      </c>
      <c r="BD13">
        <f t="shared" si="6"/>
        <v>120.41666666666667</v>
      </c>
      <c r="BE13">
        <f t="shared" si="6"/>
        <v>170.5902777777778</v>
      </c>
      <c r="BF13">
        <f t="shared" si="6"/>
        <v>241.66956018518522</v>
      </c>
      <c r="BG13">
        <f t="shared" si="6"/>
        <v>342.36521026234573</v>
      </c>
      <c r="BH13">
        <f t="shared" si="6"/>
        <v>485.01738120498982</v>
      </c>
      <c r="BI13" s="8">
        <f t="shared" si="6"/>
        <v>687.10795670706898</v>
      </c>
      <c r="BJ13" s="6">
        <f t="shared" si="6"/>
        <v>973.40293866834782</v>
      </c>
      <c r="BK13" s="8">
        <f>AV13</f>
        <v>85</v>
      </c>
      <c r="BL13" s="9">
        <f>BK13*($AV13/$AS13)^(1/3)</f>
        <v>100.12844072839403</v>
      </c>
      <c r="BM13" s="9">
        <f t="shared" ref="BM13:BR13" si="10">BL13*($AV13/$AS13)^(1/3)</f>
        <v>117.94946638470019</v>
      </c>
      <c r="BN13" s="9">
        <f t="shared" si="10"/>
        <v>138.94230769230774</v>
      </c>
      <c r="BO13" s="9">
        <f t="shared" si="10"/>
        <v>163.6714896521826</v>
      </c>
      <c r="BP13" s="9">
        <f t="shared" si="10"/>
        <v>192.80201235960615</v>
      </c>
      <c r="BQ13" s="9">
        <f t="shared" si="10"/>
        <v>227.1172337278108</v>
      </c>
      <c r="BR13" s="9">
        <f t="shared" si="10"/>
        <v>267.53993500837549</v>
      </c>
    </row>
    <row r="14" spans="1:71" ht="15" hidden="1" customHeight="1">
      <c r="A14" t="s">
        <v>149</v>
      </c>
      <c r="B14" t="s">
        <v>86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s="6">
        <v>0</v>
      </c>
      <c r="AW14">
        <v>3</v>
      </c>
      <c r="AX14">
        <v>3</v>
      </c>
      <c r="AY14">
        <v>3</v>
      </c>
      <c r="AZ14">
        <v>3</v>
      </c>
      <c r="BA14">
        <v>3</v>
      </c>
      <c r="BB14" s="6">
        <v>3</v>
      </c>
      <c r="BI14"/>
      <c r="BJ14"/>
      <c r="BK14"/>
      <c r="BL14"/>
      <c r="BM14"/>
      <c r="BN14"/>
      <c r="BO14"/>
      <c r="BP14"/>
      <c r="BQ14"/>
      <c r="BR14"/>
      <c r="BS14"/>
    </row>
    <row r="15" spans="1:71" ht="15" hidden="1" customHeight="1">
      <c r="A15" t="s">
        <v>149</v>
      </c>
      <c r="B15" t="s">
        <v>41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6</v>
      </c>
      <c r="AT15">
        <v>6</v>
      </c>
      <c r="AU15">
        <v>6</v>
      </c>
      <c r="AV15" s="6">
        <v>6</v>
      </c>
      <c r="AW15">
        <v>6</v>
      </c>
      <c r="AX15">
        <v>6</v>
      </c>
      <c r="AY15">
        <v>9</v>
      </c>
      <c r="AZ15">
        <v>9</v>
      </c>
      <c r="BA15">
        <v>12</v>
      </c>
      <c r="BB15" s="6">
        <v>27</v>
      </c>
      <c r="BC15" s="8">
        <f>AV15</f>
        <v>6</v>
      </c>
      <c r="BD15">
        <f t="shared" ref="BD15:BJ17" si="11">BC15*($AV15/$AU15)</f>
        <v>6</v>
      </c>
      <c r="BE15">
        <f t="shared" si="11"/>
        <v>6</v>
      </c>
      <c r="BF15">
        <f t="shared" si="11"/>
        <v>6</v>
      </c>
      <c r="BG15">
        <f t="shared" si="11"/>
        <v>6</v>
      </c>
      <c r="BH15">
        <f t="shared" si="11"/>
        <v>6</v>
      </c>
      <c r="BI15" s="8">
        <f t="shared" si="11"/>
        <v>6</v>
      </c>
      <c r="BJ15" s="6">
        <f t="shared" si="11"/>
        <v>6</v>
      </c>
      <c r="BK15" s="8">
        <f>AV15</f>
        <v>6</v>
      </c>
      <c r="BL15" s="9">
        <f t="shared" ref="BL15:BR15" si="12">BK15*($AV15/$AP15)^(1/7)</f>
        <v>7.7502500525444784</v>
      </c>
      <c r="BM15" s="9">
        <f t="shared" si="12"/>
        <v>10.01106264616095</v>
      </c>
      <c r="BN15" s="9">
        <f t="shared" si="12"/>
        <v>12.931373133239161</v>
      </c>
      <c r="BO15" s="9">
        <f t="shared" si="12"/>
        <v>16.703562550893178</v>
      </c>
      <c r="BP15" s="9">
        <f t="shared" si="12"/>
        <v>21.576131089623306</v>
      </c>
      <c r="BQ15" s="9">
        <f t="shared" si="12"/>
        <v>27.870068518509932</v>
      </c>
      <c r="BR15" s="10">
        <f t="shared" si="12"/>
        <v>35.999999999999972</v>
      </c>
    </row>
    <row r="16" spans="1:71">
      <c r="A16">
        <v>2</v>
      </c>
      <c r="B16" t="s">
        <v>18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2</v>
      </c>
      <c r="AQ16">
        <v>8</v>
      </c>
      <c r="AR16">
        <v>13</v>
      </c>
      <c r="AS16">
        <v>23</v>
      </c>
      <c r="AT16">
        <v>50</v>
      </c>
      <c r="AU16">
        <v>109</v>
      </c>
      <c r="AV16" s="6">
        <v>169</v>
      </c>
      <c r="AW16">
        <v>200</v>
      </c>
      <c r="AX16">
        <v>239</v>
      </c>
      <c r="AY16">
        <v>267</v>
      </c>
      <c r="AZ16">
        <v>314</v>
      </c>
      <c r="BA16">
        <v>314</v>
      </c>
      <c r="BB16" s="6">
        <v>559</v>
      </c>
      <c r="BC16" s="8">
        <f>AV16</f>
        <v>169</v>
      </c>
      <c r="BD16">
        <f t="shared" si="11"/>
        <v>262.02752293577981</v>
      </c>
      <c r="BE16">
        <f t="shared" si="11"/>
        <v>406.26285666189716</v>
      </c>
      <c r="BF16">
        <f t="shared" si="11"/>
        <v>629.89378693450112</v>
      </c>
      <c r="BG16">
        <f t="shared" si="11"/>
        <v>976.62431185257515</v>
      </c>
      <c r="BH16">
        <f t="shared" si="11"/>
        <v>1514.2156761750937</v>
      </c>
      <c r="BI16" s="8">
        <f t="shared" si="11"/>
        <v>2347.7288924182644</v>
      </c>
      <c r="BJ16" s="6">
        <f t="shared" si="11"/>
        <v>3640.0567231072173</v>
      </c>
      <c r="BK16" s="8">
        <f>AV16</f>
        <v>169</v>
      </c>
      <c r="BL16" s="9">
        <f>BK16*($AV16/$AT16)^(1/2)</f>
        <v>310.70271965336894</v>
      </c>
      <c r="BM16" s="9">
        <f t="shared" ref="BM16:BR16" si="13">BL16*($AV16/$AT16)^(1/2)</f>
        <v>571.21999999999991</v>
      </c>
      <c r="BN16" s="9">
        <f t="shared" si="13"/>
        <v>1050.1751924283869</v>
      </c>
      <c r="BO16" s="9">
        <f t="shared" si="13"/>
        <v>1930.7235999999996</v>
      </c>
      <c r="BP16" s="9">
        <f t="shared" si="13"/>
        <v>3549.5921504079479</v>
      </c>
      <c r="BQ16" s="9">
        <f t="shared" si="13"/>
        <v>6525.8457679999983</v>
      </c>
      <c r="BR16" s="9">
        <f t="shared" si="13"/>
        <v>11997.621468378862</v>
      </c>
    </row>
    <row r="17" spans="1:71" ht="15" hidden="1" customHeight="1">
      <c r="A17" t="s">
        <v>149</v>
      </c>
      <c r="B17" t="s">
        <v>73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1</v>
      </c>
      <c r="AV17" s="6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 s="6">
        <v>1</v>
      </c>
      <c r="BC17" s="8">
        <f>AV17</f>
        <v>1</v>
      </c>
      <c r="BD17">
        <f t="shared" si="11"/>
        <v>1</v>
      </c>
      <c r="BE17">
        <f t="shared" si="11"/>
        <v>1</v>
      </c>
      <c r="BF17">
        <f t="shared" si="11"/>
        <v>1</v>
      </c>
      <c r="BG17">
        <f t="shared" si="11"/>
        <v>1</v>
      </c>
      <c r="BH17">
        <f t="shared" si="11"/>
        <v>1</v>
      </c>
      <c r="BI17" s="8">
        <f t="shared" si="11"/>
        <v>1</v>
      </c>
      <c r="BJ17" s="6">
        <f t="shared" si="11"/>
        <v>1</v>
      </c>
      <c r="BK17" s="8">
        <f>AV17</f>
        <v>1</v>
      </c>
      <c r="BL17" s="9" t="e">
        <f t="shared" ref="BL17:BR17" si="14">BK17*($AV17/$AP17)^(1/7)</f>
        <v>#DIV/0!</v>
      </c>
      <c r="BM17" s="9" t="e">
        <f t="shared" si="14"/>
        <v>#DIV/0!</v>
      </c>
      <c r="BN17" s="9" t="e">
        <f t="shared" si="14"/>
        <v>#DIV/0!</v>
      </c>
      <c r="BO17" s="9" t="e">
        <f t="shared" si="14"/>
        <v>#DIV/0!</v>
      </c>
      <c r="BP17" s="9" t="e">
        <f t="shared" si="14"/>
        <v>#DIV/0!</v>
      </c>
      <c r="BQ17" s="9" t="e">
        <f t="shared" si="14"/>
        <v>#DIV/0!</v>
      </c>
      <c r="BR17" s="10" t="e">
        <f t="shared" si="14"/>
        <v>#DIV/0!</v>
      </c>
    </row>
    <row r="18" spans="1:71" ht="15" hidden="1" customHeight="1">
      <c r="A18" t="s">
        <v>149</v>
      </c>
      <c r="B18" t="s">
        <v>107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s="6">
        <v>0</v>
      </c>
      <c r="AW18">
        <v>0</v>
      </c>
      <c r="AX18">
        <v>0</v>
      </c>
      <c r="AY18">
        <v>0</v>
      </c>
      <c r="AZ18">
        <v>2</v>
      </c>
      <c r="BA18">
        <v>2</v>
      </c>
      <c r="BB18" s="6">
        <v>3</v>
      </c>
      <c r="BI18"/>
      <c r="BJ18"/>
      <c r="BK18"/>
      <c r="BL18"/>
      <c r="BM18"/>
      <c r="BN18"/>
      <c r="BO18"/>
      <c r="BP18"/>
      <c r="BQ18"/>
      <c r="BR18"/>
      <c r="BS18"/>
    </row>
    <row r="19" spans="1:71" ht="15" hidden="1" customHeight="1">
      <c r="A19" t="s">
        <v>149</v>
      </c>
      <c r="B19" t="s">
        <v>70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2</v>
      </c>
      <c r="AU19">
        <v>2</v>
      </c>
      <c r="AV19" s="6">
        <v>3</v>
      </c>
      <c r="AW19">
        <v>3</v>
      </c>
      <c r="AX19">
        <v>3</v>
      </c>
      <c r="AY19">
        <v>5</v>
      </c>
      <c r="AZ19">
        <v>7</v>
      </c>
      <c r="BA19">
        <v>11</v>
      </c>
      <c r="BB19" s="6">
        <v>13</v>
      </c>
      <c r="BC19" s="8">
        <f>AV19</f>
        <v>3</v>
      </c>
      <c r="BD19">
        <f t="shared" ref="BD19:BJ20" si="15">BC19*($AV19/$AU19)</f>
        <v>4.5</v>
      </c>
      <c r="BE19">
        <f t="shared" si="15"/>
        <v>6.75</v>
      </c>
      <c r="BF19">
        <f t="shared" si="15"/>
        <v>10.125</v>
      </c>
      <c r="BG19">
        <f t="shared" si="15"/>
        <v>15.1875</v>
      </c>
      <c r="BH19">
        <f t="shared" si="15"/>
        <v>22.78125</v>
      </c>
      <c r="BI19" s="8">
        <f t="shared" si="15"/>
        <v>34.171875</v>
      </c>
      <c r="BJ19" s="6">
        <f t="shared" si="15"/>
        <v>51.2578125</v>
      </c>
      <c r="BK19" s="8">
        <f>AV19</f>
        <v>3</v>
      </c>
      <c r="BL19" s="9" t="e">
        <f t="shared" ref="BL19:BR20" si="16">BK19*($AV19/$AP19)^(1/7)</f>
        <v>#DIV/0!</v>
      </c>
      <c r="BM19" s="9" t="e">
        <f t="shared" si="16"/>
        <v>#DIV/0!</v>
      </c>
      <c r="BN19" s="9" t="e">
        <f t="shared" si="16"/>
        <v>#DIV/0!</v>
      </c>
      <c r="BO19" s="9" t="e">
        <f t="shared" si="16"/>
        <v>#DIV/0!</v>
      </c>
      <c r="BP19" s="9" t="e">
        <f t="shared" si="16"/>
        <v>#DIV/0!</v>
      </c>
      <c r="BQ19" s="9" t="e">
        <f t="shared" si="16"/>
        <v>#DIV/0!</v>
      </c>
      <c r="BR19" s="10" t="e">
        <f t="shared" si="16"/>
        <v>#DIV/0!</v>
      </c>
    </row>
    <row r="20" spans="1:71" ht="15" hidden="1" customHeight="1">
      <c r="A20" t="s">
        <v>149</v>
      </c>
      <c r="B20" t="s">
        <v>32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</v>
      </c>
      <c r="AM20">
        <v>1</v>
      </c>
      <c r="AN20">
        <v>1</v>
      </c>
      <c r="AO20">
        <v>2</v>
      </c>
      <c r="AP20">
        <v>2</v>
      </c>
      <c r="AQ20">
        <v>2</v>
      </c>
      <c r="AR20">
        <v>2</v>
      </c>
      <c r="AS20">
        <v>4</v>
      </c>
      <c r="AT20">
        <v>4</v>
      </c>
      <c r="AU20">
        <v>13</v>
      </c>
      <c r="AV20" s="6">
        <v>13</v>
      </c>
      <c r="AW20">
        <v>20</v>
      </c>
      <c r="AX20">
        <v>25</v>
      </c>
      <c r="AY20">
        <v>31</v>
      </c>
      <c r="AZ20">
        <v>38</v>
      </c>
      <c r="BA20">
        <v>52</v>
      </c>
      <c r="BB20" s="6">
        <v>151</v>
      </c>
      <c r="BC20" s="8">
        <f>AV20</f>
        <v>13</v>
      </c>
      <c r="BD20">
        <f t="shared" si="15"/>
        <v>13</v>
      </c>
      <c r="BE20">
        <f t="shared" si="15"/>
        <v>13</v>
      </c>
      <c r="BF20">
        <f t="shared" si="15"/>
        <v>13</v>
      </c>
      <c r="BG20">
        <f t="shared" si="15"/>
        <v>13</v>
      </c>
      <c r="BH20">
        <f t="shared" si="15"/>
        <v>13</v>
      </c>
      <c r="BI20" s="8">
        <f t="shared" si="15"/>
        <v>13</v>
      </c>
      <c r="BJ20" s="6">
        <f t="shared" si="15"/>
        <v>13</v>
      </c>
      <c r="BK20" s="8">
        <f>AV20</f>
        <v>13</v>
      </c>
      <c r="BL20" s="9">
        <f t="shared" si="16"/>
        <v>16.985323853278725</v>
      </c>
      <c r="BM20" s="9">
        <f t="shared" si="16"/>
        <v>22.192402030827633</v>
      </c>
      <c r="BN20" s="9">
        <f t="shared" si="16"/>
        <v>28.995779659674447</v>
      </c>
      <c r="BO20" s="9">
        <f t="shared" si="16"/>
        <v>37.884823684452492</v>
      </c>
      <c r="BP20" s="9">
        <f t="shared" si="16"/>
        <v>49.498923031137664</v>
      </c>
      <c r="BQ20" s="9">
        <f t="shared" si="16"/>
        <v>64.67347985172232</v>
      </c>
      <c r="BR20" s="10">
        <f t="shared" si="16"/>
        <v>84.5</v>
      </c>
    </row>
    <row r="21" spans="1:71" ht="15" hidden="1" customHeight="1">
      <c r="A21" t="s">
        <v>149</v>
      </c>
      <c r="B21" t="s">
        <v>90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 s="6">
        <v>0</v>
      </c>
      <c r="AW21">
        <v>0</v>
      </c>
      <c r="AX21">
        <v>1</v>
      </c>
      <c r="AY21">
        <v>1</v>
      </c>
      <c r="AZ21">
        <v>11</v>
      </c>
      <c r="BA21">
        <v>11</v>
      </c>
      <c r="BB21" s="6">
        <v>37</v>
      </c>
      <c r="BI21"/>
      <c r="BJ21"/>
      <c r="BK21"/>
      <c r="BL21"/>
      <c r="BM21"/>
      <c r="BN21"/>
      <c r="BO21"/>
      <c r="BP21"/>
      <c r="BQ21"/>
      <c r="BR21"/>
      <c r="BS21"/>
    </row>
    <row r="22" spans="1:71" ht="15" hidden="1" customHeight="1">
      <c r="A22" t="s">
        <v>149</v>
      </c>
      <c r="B22" t="s">
        <v>84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 s="6">
        <v>0</v>
      </c>
      <c r="AW22">
        <v>4</v>
      </c>
      <c r="AX22">
        <v>4</v>
      </c>
      <c r="AY22">
        <v>4</v>
      </c>
      <c r="AZ22">
        <v>7</v>
      </c>
      <c r="BA22">
        <v>7</v>
      </c>
      <c r="BB22" s="6">
        <v>23</v>
      </c>
      <c r="BI22"/>
      <c r="BJ22"/>
      <c r="BK22"/>
      <c r="BL22"/>
      <c r="BM22"/>
      <c r="BN22"/>
      <c r="BO22"/>
      <c r="BP22"/>
      <c r="BQ22"/>
      <c r="BR22"/>
      <c r="BS22"/>
    </row>
    <row r="23" spans="1:71" ht="15" hidden="1" customHeight="1">
      <c r="A23" t="s">
        <v>149</v>
      </c>
      <c r="B23" t="s">
        <v>93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 s="6">
        <v>0</v>
      </c>
      <c r="AW23">
        <v>0</v>
      </c>
      <c r="AX23">
        <v>0</v>
      </c>
      <c r="AY23">
        <v>1</v>
      </c>
      <c r="AZ23">
        <v>2</v>
      </c>
      <c r="BA23">
        <v>2</v>
      </c>
      <c r="BB23" s="6">
        <v>2</v>
      </c>
      <c r="BI23"/>
      <c r="BJ23"/>
      <c r="BK23"/>
      <c r="BL23"/>
      <c r="BM23"/>
      <c r="BN23"/>
      <c r="BO23"/>
      <c r="BP23"/>
      <c r="BQ23"/>
      <c r="BR23"/>
      <c r="BS23"/>
    </row>
    <row r="24" spans="1:71" ht="15" hidden="1" customHeight="1">
      <c r="A24" t="s">
        <v>149</v>
      </c>
      <c r="B24" t="s">
        <v>8</v>
      </c>
      <c r="C24">
        <v>0</v>
      </c>
      <c r="D24">
        <v>0</v>
      </c>
      <c r="E24">
        <v>0</v>
      </c>
      <c r="F24">
        <v>0</v>
      </c>
      <c r="G24">
        <v>0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 s="6">
        <v>1</v>
      </c>
      <c r="AW24">
        <v>2</v>
      </c>
      <c r="AX24">
        <v>2</v>
      </c>
      <c r="AY24">
        <v>2</v>
      </c>
      <c r="AZ24">
        <v>3</v>
      </c>
      <c r="BA24">
        <v>3</v>
      </c>
      <c r="BB24" s="6">
        <v>5</v>
      </c>
      <c r="BC24" s="8">
        <f>AV24</f>
        <v>1</v>
      </c>
      <c r="BD24">
        <f t="shared" ref="BD24:BJ26" si="17">BC24*($AV24/$AU24)</f>
        <v>1</v>
      </c>
      <c r="BE24">
        <f t="shared" si="17"/>
        <v>1</v>
      </c>
      <c r="BF24">
        <f t="shared" si="17"/>
        <v>1</v>
      </c>
      <c r="BG24">
        <f t="shared" si="17"/>
        <v>1</v>
      </c>
      <c r="BH24">
        <f t="shared" si="17"/>
        <v>1</v>
      </c>
      <c r="BI24" s="8">
        <f t="shared" si="17"/>
        <v>1</v>
      </c>
      <c r="BJ24" s="6">
        <f t="shared" si="17"/>
        <v>1</v>
      </c>
      <c r="BK24" s="8">
        <f>AV24</f>
        <v>1</v>
      </c>
      <c r="BL24" s="9">
        <f t="shared" ref="BL24:BR25" si="18">BK24*($AV24/$AP24)^(1/7)</f>
        <v>1</v>
      </c>
      <c r="BM24" s="9">
        <f t="shared" si="18"/>
        <v>1</v>
      </c>
      <c r="BN24" s="9">
        <f t="shared" si="18"/>
        <v>1</v>
      </c>
      <c r="BO24" s="9">
        <f t="shared" si="18"/>
        <v>1</v>
      </c>
      <c r="BP24" s="9">
        <f t="shared" si="18"/>
        <v>1</v>
      </c>
      <c r="BQ24" s="9">
        <f t="shared" si="18"/>
        <v>1</v>
      </c>
      <c r="BR24" s="10">
        <f t="shared" si="18"/>
        <v>1</v>
      </c>
    </row>
    <row r="25" spans="1:71" ht="15" hidden="1" customHeight="1">
      <c r="A25" t="s">
        <v>149</v>
      </c>
      <c r="B25" t="s">
        <v>74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 s="6">
        <v>1</v>
      </c>
      <c r="AW25">
        <v>2</v>
      </c>
      <c r="AX25">
        <v>2</v>
      </c>
      <c r="AY25">
        <v>2</v>
      </c>
      <c r="AZ25">
        <v>2</v>
      </c>
      <c r="BA25">
        <v>2</v>
      </c>
      <c r="BB25" s="6">
        <v>2</v>
      </c>
      <c r="BC25" s="8">
        <f>AV25</f>
        <v>1</v>
      </c>
      <c r="BD25">
        <f t="shared" si="17"/>
        <v>1</v>
      </c>
      <c r="BE25">
        <f t="shared" si="17"/>
        <v>1</v>
      </c>
      <c r="BF25">
        <f t="shared" si="17"/>
        <v>1</v>
      </c>
      <c r="BG25">
        <f t="shared" si="17"/>
        <v>1</v>
      </c>
      <c r="BH25">
        <f t="shared" si="17"/>
        <v>1</v>
      </c>
      <c r="BI25" s="8">
        <f t="shared" si="17"/>
        <v>1</v>
      </c>
      <c r="BJ25" s="6">
        <f t="shared" si="17"/>
        <v>1</v>
      </c>
      <c r="BK25" s="8">
        <f>AV25</f>
        <v>1</v>
      </c>
      <c r="BL25" s="9" t="e">
        <f t="shared" si="18"/>
        <v>#DIV/0!</v>
      </c>
      <c r="BM25" s="9" t="e">
        <f t="shared" si="18"/>
        <v>#DIV/0!</v>
      </c>
      <c r="BN25" s="9" t="e">
        <f t="shared" si="18"/>
        <v>#DIV/0!</v>
      </c>
      <c r="BO25" s="9" t="e">
        <f t="shared" si="18"/>
        <v>#DIV/0!</v>
      </c>
      <c r="BP25" s="9" t="e">
        <f t="shared" si="18"/>
        <v>#DIV/0!</v>
      </c>
      <c r="BQ25" s="9" t="e">
        <f t="shared" si="18"/>
        <v>#DIV/0!</v>
      </c>
      <c r="BR25" s="10" t="e">
        <f t="shared" si="18"/>
        <v>#DIV/0!</v>
      </c>
    </row>
    <row r="26" spans="1:71" hidden="1">
      <c r="A26" t="s">
        <v>149</v>
      </c>
      <c r="B26" t="s">
        <v>145</v>
      </c>
      <c r="C26">
        <v>0</v>
      </c>
      <c r="D26">
        <v>0</v>
      </c>
      <c r="E26">
        <v>0</v>
      </c>
      <c r="F26">
        <v>0</v>
      </c>
      <c r="G26">
        <v>1</v>
      </c>
      <c r="H26">
        <v>1</v>
      </c>
      <c r="I26">
        <v>2</v>
      </c>
      <c r="J26">
        <v>2</v>
      </c>
      <c r="K26">
        <v>2</v>
      </c>
      <c r="L26">
        <v>4</v>
      </c>
      <c r="M26">
        <v>4</v>
      </c>
      <c r="N26">
        <v>4</v>
      </c>
      <c r="O26">
        <v>4</v>
      </c>
      <c r="P26">
        <v>4</v>
      </c>
      <c r="Q26">
        <v>5</v>
      </c>
      <c r="R26">
        <v>5</v>
      </c>
      <c r="S26">
        <v>7</v>
      </c>
      <c r="T26">
        <v>7</v>
      </c>
      <c r="U26">
        <v>7</v>
      </c>
      <c r="V26">
        <v>7</v>
      </c>
      <c r="W26">
        <v>7</v>
      </c>
      <c r="X26">
        <v>7</v>
      </c>
      <c r="Y26">
        <v>7</v>
      </c>
      <c r="Z26">
        <v>7</v>
      </c>
      <c r="AA26">
        <v>7</v>
      </c>
      <c r="AB26">
        <v>7</v>
      </c>
      <c r="AC26">
        <v>8</v>
      </c>
      <c r="AD26">
        <v>8</v>
      </c>
      <c r="AE26">
        <v>8</v>
      </c>
      <c r="AF26">
        <v>8</v>
      </c>
      <c r="AG26">
        <v>9</v>
      </c>
      <c r="AH26">
        <v>9</v>
      </c>
      <c r="AI26">
        <v>9</v>
      </c>
      <c r="AJ26">
        <v>10</v>
      </c>
      <c r="AK26">
        <v>11</v>
      </c>
      <c r="AL26">
        <v>11</v>
      </c>
      <c r="AM26">
        <v>13</v>
      </c>
      <c r="AN26">
        <v>14</v>
      </c>
      <c r="AO26">
        <v>20</v>
      </c>
      <c r="AP26">
        <v>24</v>
      </c>
      <c r="AQ26">
        <v>27</v>
      </c>
      <c r="AR26">
        <v>30</v>
      </c>
      <c r="AS26">
        <v>33</v>
      </c>
      <c r="AT26">
        <v>37</v>
      </c>
      <c r="AU26">
        <v>49</v>
      </c>
      <c r="AV26" s="6">
        <v>54</v>
      </c>
      <c r="AW26">
        <v>64</v>
      </c>
      <c r="AX26">
        <v>77</v>
      </c>
      <c r="AY26">
        <v>79</v>
      </c>
      <c r="AZ26">
        <v>108</v>
      </c>
      <c r="BA26">
        <v>117</v>
      </c>
      <c r="BB26" s="6">
        <v>193</v>
      </c>
      <c r="BC26" s="8">
        <f>AV26</f>
        <v>54</v>
      </c>
      <c r="BD26">
        <f t="shared" si="17"/>
        <v>59.510204081632651</v>
      </c>
      <c r="BE26">
        <f t="shared" si="17"/>
        <v>65.58267388588088</v>
      </c>
      <c r="BF26">
        <f t="shared" si="17"/>
        <v>72.274783466072805</v>
      </c>
      <c r="BG26">
        <f t="shared" si="17"/>
        <v>79.649761370774101</v>
      </c>
      <c r="BH26">
        <f t="shared" si="17"/>
        <v>87.777288041261244</v>
      </c>
      <c r="BI26" s="8">
        <f t="shared" si="17"/>
        <v>96.734154167920551</v>
      </c>
      <c r="BJ26" s="6">
        <f t="shared" si="17"/>
        <v>106.60498622587161</v>
      </c>
      <c r="BK26" s="8">
        <f>AV26</f>
        <v>54</v>
      </c>
      <c r="BL26" s="9">
        <f>BK26*($AV26/$AP26)^(1/6)</f>
        <v>61.814569097879918</v>
      </c>
      <c r="BM26" s="9">
        <f t="shared" ref="BM26:BR26" si="19">BL26*($AV26/$AP26)^(1/6)</f>
        <v>70.760017643640211</v>
      </c>
      <c r="BN26" s="9">
        <f t="shared" si="19"/>
        <v>81</v>
      </c>
      <c r="BO26" s="9">
        <f t="shared" si="19"/>
        <v>92.721853646819881</v>
      </c>
      <c r="BP26" s="9">
        <f t="shared" si="19"/>
        <v>106.14002646546031</v>
      </c>
      <c r="BQ26" s="9">
        <f t="shared" si="19"/>
        <v>121.5</v>
      </c>
      <c r="BR26" s="9">
        <f t="shared" si="19"/>
        <v>139.08278047022984</v>
      </c>
    </row>
    <row r="27" spans="1:71" ht="15" hidden="1" customHeight="1">
      <c r="A27" t="s">
        <v>149</v>
      </c>
      <c r="B27" t="s">
        <v>132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 s="6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 s="6">
        <v>1</v>
      </c>
      <c r="BI27"/>
      <c r="BJ27"/>
      <c r="BK27"/>
      <c r="BL27"/>
      <c r="BM27"/>
      <c r="BN27"/>
      <c r="BO27"/>
      <c r="BP27"/>
      <c r="BQ27"/>
      <c r="BR27"/>
      <c r="BS27"/>
    </row>
    <row r="28" spans="1:71" ht="15" hidden="1" customHeight="1">
      <c r="A28" t="s">
        <v>149</v>
      </c>
      <c r="B28" t="s">
        <v>63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1</v>
      </c>
      <c r="AS28">
        <v>1</v>
      </c>
      <c r="AT28">
        <v>4</v>
      </c>
      <c r="AU28">
        <v>4</v>
      </c>
      <c r="AV28" s="6">
        <v>4</v>
      </c>
      <c r="AW28">
        <v>8</v>
      </c>
      <c r="AX28">
        <v>8</v>
      </c>
      <c r="AY28">
        <v>13</v>
      </c>
      <c r="AZ28">
        <v>23</v>
      </c>
      <c r="BA28">
        <v>23</v>
      </c>
      <c r="BB28" s="6">
        <v>43</v>
      </c>
      <c r="BC28" s="8">
        <f>AV28</f>
        <v>4</v>
      </c>
      <c r="BD28">
        <f t="shared" ref="BD28:BJ28" si="20">BC28*($AV28/$AU28)</f>
        <v>4</v>
      </c>
      <c r="BE28">
        <f t="shared" si="20"/>
        <v>4</v>
      </c>
      <c r="BF28">
        <f t="shared" si="20"/>
        <v>4</v>
      </c>
      <c r="BG28">
        <f t="shared" si="20"/>
        <v>4</v>
      </c>
      <c r="BH28">
        <f t="shared" si="20"/>
        <v>4</v>
      </c>
      <c r="BI28" s="8">
        <f t="shared" si="20"/>
        <v>4</v>
      </c>
      <c r="BJ28" s="6">
        <f t="shared" si="20"/>
        <v>4</v>
      </c>
      <c r="BK28" s="8">
        <f>AV28</f>
        <v>4</v>
      </c>
      <c r="BL28" s="9" t="e">
        <f t="shared" ref="BL28:BR28" si="21">BK28*($AV28/$AP28)^(1/7)</f>
        <v>#DIV/0!</v>
      </c>
      <c r="BM28" s="9" t="e">
        <f t="shared" si="21"/>
        <v>#DIV/0!</v>
      </c>
      <c r="BN28" s="9" t="e">
        <f t="shared" si="21"/>
        <v>#DIV/0!</v>
      </c>
      <c r="BO28" s="9" t="e">
        <f t="shared" si="21"/>
        <v>#DIV/0!</v>
      </c>
      <c r="BP28" s="9" t="e">
        <f t="shared" si="21"/>
        <v>#DIV/0!</v>
      </c>
      <c r="BQ28" s="9" t="e">
        <f t="shared" si="21"/>
        <v>#DIV/0!</v>
      </c>
      <c r="BR28" s="10" t="e">
        <f t="shared" si="21"/>
        <v>#DIV/0!</v>
      </c>
    </row>
    <row r="29" spans="1:71" ht="15" customHeight="1">
      <c r="A29">
        <v>7</v>
      </c>
      <c r="B29" t="s">
        <v>146</v>
      </c>
      <c r="C29">
        <v>104</v>
      </c>
      <c r="D29">
        <v>199</v>
      </c>
      <c r="E29">
        <v>371</v>
      </c>
      <c r="F29">
        <v>645</v>
      </c>
      <c r="G29">
        <v>1017</v>
      </c>
      <c r="H29">
        <v>1454</v>
      </c>
      <c r="I29">
        <v>1955</v>
      </c>
      <c r="J29">
        <v>2533</v>
      </c>
      <c r="K29">
        <v>3238</v>
      </c>
      <c r="L29">
        <v>3996</v>
      </c>
      <c r="M29">
        <v>4738</v>
      </c>
      <c r="N29">
        <v>5453</v>
      </c>
      <c r="O29">
        <v>6194</v>
      </c>
      <c r="P29">
        <v>7029</v>
      </c>
      <c r="Q29">
        <v>7775</v>
      </c>
      <c r="R29">
        <v>8475</v>
      </c>
      <c r="S29">
        <v>9157</v>
      </c>
      <c r="T29">
        <v>9714</v>
      </c>
      <c r="U29">
        <v>10198</v>
      </c>
      <c r="V29">
        <v>10626</v>
      </c>
      <c r="W29">
        <v>11020</v>
      </c>
      <c r="X29">
        <v>11393</v>
      </c>
      <c r="Y29">
        <v>11689</v>
      </c>
      <c r="Z29">
        <v>11952</v>
      </c>
      <c r="AA29">
        <v>12164</v>
      </c>
      <c r="AB29">
        <v>12331</v>
      </c>
      <c r="AC29">
        <v>12445</v>
      </c>
      <c r="AD29">
        <v>12529</v>
      </c>
      <c r="AE29">
        <v>12588</v>
      </c>
      <c r="AF29">
        <v>12635</v>
      </c>
      <c r="AG29">
        <v>12888</v>
      </c>
      <c r="AH29">
        <v>12917</v>
      </c>
      <c r="AI29">
        <v>12938</v>
      </c>
      <c r="AJ29">
        <v>12954</v>
      </c>
      <c r="AK29">
        <v>12968</v>
      </c>
      <c r="AL29">
        <v>12979</v>
      </c>
      <c r="AM29">
        <v>13004</v>
      </c>
      <c r="AN29">
        <v>13014</v>
      </c>
      <c r="AO29">
        <v>13019</v>
      </c>
      <c r="AP29">
        <v>13025</v>
      </c>
      <c r="AQ29">
        <v>13033</v>
      </c>
      <c r="AR29">
        <v>13044</v>
      </c>
      <c r="AS29">
        <v>13054</v>
      </c>
      <c r="AT29">
        <v>13071</v>
      </c>
      <c r="AU29">
        <v>13098</v>
      </c>
      <c r="AV29" s="6">
        <v>13104</v>
      </c>
      <c r="AW29">
        <v>13116</v>
      </c>
      <c r="AX29">
        <v>13117</v>
      </c>
      <c r="AY29">
        <v>13127</v>
      </c>
      <c r="AZ29">
        <v>13148</v>
      </c>
      <c r="BA29">
        <v>13151</v>
      </c>
      <c r="BB29" s="6">
        <v>13159</v>
      </c>
      <c r="BC29" s="8">
        <f>AV29</f>
        <v>13104</v>
      </c>
      <c r="BD29">
        <f t="shared" ref="BD29:BJ29" si="22">BC29*($AV29/$AU29)</f>
        <v>13110.002748511222</v>
      </c>
      <c r="BE29">
        <f t="shared" si="22"/>
        <v>13116.00824679272</v>
      </c>
      <c r="BF29">
        <f t="shared" si="22"/>
        <v>13122.016496104123</v>
      </c>
      <c r="BG29">
        <f t="shared" si="22"/>
        <v>13128.027497705636</v>
      </c>
      <c r="BH29">
        <f t="shared" si="22"/>
        <v>13134.041252858042</v>
      </c>
      <c r="BI29" s="8">
        <f t="shared" si="22"/>
        <v>13140.057762822704</v>
      </c>
      <c r="BJ29" s="6">
        <f t="shared" si="22"/>
        <v>13146.077028861559</v>
      </c>
      <c r="BK29" s="8">
        <f>AV29</f>
        <v>13104</v>
      </c>
      <c r="BL29" s="9">
        <f>BK29*($AV29/$AO29)^(1/7)</f>
        <v>13116.188075595308</v>
      </c>
      <c r="BM29" s="9">
        <f t="shared" ref="BM29:BR29" si="23">BL29*($AV29/$AO29)^(1/7)</f>
        <v>13128.387487361762</v>
      </c>
      <c r="BN29" s="9">
        <f t="shared" si="23"/>
        <v>13140.598245843177</v>
      </c>
      <c r="BO29" s="9">
        <f t="shared" si="23"/>
        <v>13152.820361593171</v>
      </c>
      <c r="BP29" s="9">
        <f t="shared" si="23"/>
        <v>13165.053845175176</v>
      </c>
      <c r="BQ29" s="9">
        <f t="shared" si="23"/>
        <v>13177.298707162454</v>
      </c>
      <c r="BR29" s="9">
        <f t="shared" si="23"/>
        <v>13189.554958138098</v>
      </c>
      <c r="BS29"/>
    </row>
    <row r="30" spans="1:71" ht="15" customHeight="1">
      <c r="A30">
        <v>7</v>
      </c>
      <c r="B30" t="s">
        <v>147</v>
      </c>
      <c r="C30">
        <v>444</v>
      </c>
      <c r="D30">
        <v>444</v>
      </c>
      <c r="E30">
        <v>549</v>
      </c>
      <c r="F30">
        <v>761</v>
      </c>
      <c r="G30">
        <v>1058</v>
      </c>
      <c r="H30">
        <v>1423</v>
      </c>
      <c r="I30">
        <v>3554</v>
      </c>
      <c r="J30">
        <v>3554</v>
      </c>
      <c r="K30">
        <v>4903</v>
      </c>
      <c r="L30">
        <v>5806</v>
      </c>
      <c r="M30">
        <v>7153</v>
      </c>
      <c r="N30">
        <v>11177</v>
      </c>
      <c r="O30">
        <v>13522</v>
      </c>
      <c r="P30">
        <v>16678</v>
      </c>
      <c r="Q30">
        <v>19665</v>
      </c>
      <c r="R30">
        <v>22112</v>
      </c>
      <c r="S30">
        <v>24953</v>
      </c>
      <c r="T30">
        <v>27100</v>
      </c>
      <c r="U30">
        <v>29631</v>
      </c>
      <c r="V30">
        <v>31728</v>
      </c>
      <c r="W30">
        <v>33366</v>
      </c>
      <c r="X30">
        <v>33366</v>
      </c>
      <c r="Y30">
        <v>48206</v>
      </c>
      <c r="Z30">
        <v>54406</v>
      </c>
      <c r="AA30">
        <v>56249</v>
      </c>
      <c r="AB30">
        <v>58182</v>
      </c>
      <c r="AC30">
        <v>59989</v>
      </c>
      <c r="AD30">
        <v>61682</v>
      </c>
      <c r="AE30">
        <v>62031</v>
      </c>
      <c r="AF30">
        <v>62442</v>
      </c>
      <c r="AG30">
        <v>62662</v>
      </c>
      <c r="AH30">
        <v>64084</v>
      </c>
      <c r="AI30">
        <v>64084</v>
      </c>
      <c r="AJ30">
        <v>64287</v>
      </c>
      <c r="AK30">
        <v>64786</v>
      </c>
      <c r="AL30">
        <v>65187</v>
      </c>
      <c r="AM30">
        <v>65596</v>
      </c>
      <c r="AN30">
        <v>65914</v>
      </c>
      <c r="AO30">
        <v>66337</v>
      </c>
      <c r="AP30">
        <v>66907</v>
      </c>
      <c r="AQ30">
        <v>67103</v>
      </c>
      <c r="AR30">
        <v>67217</v>
      </c>
      <c r="AS30">
        <v>67332</v>
      </c>
      <c r="AT30">
        <v>67466</v>
      </c>
      <c r="AU30">
        <v>67592</v>
      </c>
      <c r="AV30" s="6">
        <v>67666</v>
      </c>
      <c r="AW30">
        <v>67707</v>
      </c>
      <c r="AX30">
        <v>67743</v>
      </c>
      <c r="AY30">
        <v>67760</v>
      </c>
      <c r="AZ30">
        <v>67773</v>
      </c>
      <c r="BA30">
        <v>67781</v>
      </c>
      <c r="BB30" s="6">
        <v>67786</v>
      </c>
      <c r="BC30" s="8">
        <f>AV30</f>
        <v>67666</v>
      </c>
      <c r="BD30">
        <f t="shared" ref="BD30:BJ30" si="24">BC30*($AV30/$AU30)</f>
        <v>67740.081015504795</v>
      </c>
      <c r="BE30">
        <f t="shared" si="24"/>
        <v>67814.24313521049</v>
      </c>
      <c r="BF30">
        <f t="shared" si="24"/>
        <v>67888.486447910298</v>
      </c>
      <c r="BG30">
        <f t="shared" si="24"/>
        <v>67962.81104249465</v>
      </c>
      <c r="BH30">
        <f t="shared" si="24"/>
        <v>68037.217007951273</v>
      </c>
      <c r="BI30" s="8">
        <f t="shared" si="24"/>
        <v>68111.704433365347</v>
      </c>
      <c r="BJ30" s="6">
        <f t="shared" si="24"/>
        <v>68186.273407919565</v>
      </c>
      <c r="BK30" s="8">
        <f>AV30</f>
        <v>67666</v>
      </c>
      <c r="BL30" s="9">
        <f>BK30*($AV30/$AO30)^(1/7)</f>
        <v>67858.01830815943</v>
      </c>
      <c r="BM30" s="9">
        <f t="shared" ref="BM30:BR30" si="25">BL30*($AV30/$AO30)^(1/7)</f>
        <v>68050.581513766141</v>
      </c>
      <c r="BN30" s="9">
        <f t="shared" si="25"/>
        <v>68243.691163095762</v>
      </c>
      <c r="BO30" s="9">
        <f t="shared" si="25"/>
        <v>68437.348806811846</v>
      </c>
      <c r="BP30" s="9">
        <f t="shared" si="25"/>
        <v>68631.555999978285</v>
      </c>
      <c r="BQ30" s="9">
        <f t="shared" si="25"/>
        <v>68826.314302071871</v>
      </c>
      <c r="BR30" s="9">
        <f t="shared" si="25"/>
        <v>69021.625276994775</v>
      </c>
      <c r="BS30"/>
    </row>
    <row r="31" spans="1:71" ht="15" hidden="1" customHeight="1">
      <c r="A31" t="s">
        <v>149</v>
      </c>
      <c r="B31" t="s">
        <v>75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1</v>
      </c>
      <c r="AV31" s="6">
        <v>1</v>
      </c>
      <c r="AW31">
        <v>1</v>
      </c>
      <c r="AX31">
        <v>1</v>
      </c>
      <c r="AY31">
        <v>3</v>
      </c>
      <c r="AZ31">
        <v>9</v>
      </c>
      <c r="BA31">
        <v>9</v>
      </c>
      <c r="BB31" s="6">
        <v>13</v>
      </c>
      <c r="BC31" s="8">
        <f>AV31</f>
        <v>1</v>
      </c>
      <c r="BD31">
        <f t="shared" ref="BD31:BJ31" si="26">BC31*($AV31/$AU31)</f>
        <v>1</v>
      </c>
      <c r="BE31">
        <f t="shared" si="26"/>
        <v>1</v>
      </c>
      <c r="BF31">
        <f t="shared" si="26"/>
        <v>1</v>
      </c>
      <c r="BG31">
        <f t="shared" si="26"/>
        <v>1</v>
      </c>
      <c r="BH31">
        <f t="shared" si="26"/>
        <v>1</v>
      </c>
      <c r="BI31" s="8">
        <f t="shared" si="26"/>
        <v>1</v>
      </c>
      <c r="BJ31" s="6">
        <f t="shared" si="26"/>
        <v>1</v>
      </c>
      <c r="BK31" s="8">
        <f>AV31</f>
        <v>1</v>
      </c>
      <c r="BL31" s="9" t="e">
        <f t="shared" ref="BL31:BR31" si="27">BK31*($AV31/$AP31)^(1/7)</f>
        <v>#DIV/0!</v>
      </c>
      <c r="BM31" s="9" t="e">
        <f t="shared" si="27"/>
        <v>#DIV/0!</v>
      </c>
      <c r="BN31" s="9" t="e">
        <f t="shared" si="27"/>
        <v>#DIV/0!</v>
      </c>
      <c r="BO31" s="9" t="e">
        <f t="shared" si="27"/>
        <v>#DIV/0!</v>
      </c>
      <c r="BP31" s="9" t="e">
        <f t="shared" si="27"/>
        <v>#DIV/0!</v>
      </c>
      <c r="BQ31" s="9" t="e">
        <f t="shared" si="27"/>
        <v>#DIV/0!</v>
      </c>
      <c r="BR31" s="10" t="e">
        <f t="shared" si="27"/>
        <v>#DIV/0!</v>
      </c>
    </row>
    <row r="32" spans="1:71" ht="15" hidden="1" customHeight="1">
      <c r="A32" t="s">
        <v>149</v>
      </c>
      <c r="B32" t="s">
        <v>109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 s="6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 s="6">
        <v>2</v>
      </c>
      <c r="BI32"/>
      <c r="BJ32"/>
      <c r="BK32"/>
      <c r="BL32"/>
      <c r="BM32"/>
      <c r="BN32"/>
      <c r="BO32"/>
      <c r="BP32"/>
      <c r="BQ32"/>
      <c r="BR32"/>
      <c r="BS32"/>
    </row>
    <row r="33" spans="1:71" ht="15" hidden="1" customHeight="1">
      <c r="A33" t="s">
        <v>149</v>
      </c>
      <c r="B33" t="s">
        <v>76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1</v>
      </c>
      <c r="AV33" s="6">
        <v>1</v>
      </c>
      <c r="AW33">
        <v>5</v>
      </c>
      <c r="AX33">
        <v>9</v>
      </c>
      <c r="AY33">
        <v>9</v>
      </c>
      <c r="AZ33">
        <v>13</v>
      </c>
      <c r="BA33">
        <v>22</v>
      </c>
      <c r="BB33" s="6">
        <v>23</v>
      </c>
      <c r="BC33" s="8">
        <f>AV33</f>
        <v>1</v>
      </c>
      <c r="BD33">
        <f t="shared" ref="BD33:BJ33" si="28">BC33*($AV33/$AU33)</f>
        <v>1</v>
      </c>
      <c r="BE33">
        <f t="shared" si="28"/>
        <v>1</v>
      </c>
      <c r="BF33">
        <f t="shared" si="28"/>
        <v>1</v>
      </c>
      <c r="BG33">
        <f t="shared" si="28"/>
        <v>1</v>
      </c>
      <c r="BH33">
        <f t="shared" si="28"/>
        <v>1</v>
      </c>
      <c r="BI33" s="8">
        <f t="shared" si="28"/>
        <v>1</v>
      </c>
      <c r="BJ33" s="6">
        <f t="shared" si="28"/>
        <v>1</v>
      </c>
      <c r="BK33" s="8">
        <f>AV33</f>
        <v>1</v>
      </c>
      <c r="BL33" s="9" t="e">
        <f t="shared" ref="BL33:BR33" si="29">BK33*($AV33/$AP33)^(1/7)</f>
        <v>#DIV/0!</v>
      </c>
      <c r="BM33" s="9" t="e">
        <f t="shared" si="29"/>
        <v>#DIV/0!</v>
      </c>
      <c r="BN33" s="9" t="e">
        <f t="shared" si="29"/>
        <v>#DIV/0!</v>
      </c>
      <c r="BO33" s="9" t="e">
        <f t="shared" si="29"/>
        <v>#DIV/0!</v>
      </c>
      <c r="BP33" s="9" t="e">
        <f t="shared" si="29"/>
        <v>#DIV/0!</v>
      </c>
      <c r="BQ33" s="9" t="e">
        <f t="shared" si="29"/>
        <v>#DIV/0!</v>
      </c>
      <c r="BR33" s="10" t="e">
        <f t="shared" si="29"/>
        <v>#DIV/0!</v>
      </c>
    </row>
    <row r="34" spans="1:71" ht="15" hidden="1" customHeight="1">
      <c r="A34" t="s">
        <v>149</v>
      </c>
      <c r="B34" t="s">
        <v>110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 s="6">
        <v>0</v>
      </c>
      <c r="AW34">
        <v>0</v>
      </c>
      <c r="AX34">
        <v>0</v>
      </c>
      <c r="AY34">
        <v>0</v>
      </c>
      <c r="AZ34">
        <v>1</v>
      </c>
      <c r="BA34">
        <v>1</v>
      </c>
      <c r="BB34" s="6">
        <v>1</v>
      </c>
      <c r="BI34"/>
      <c r="BJ34"/>
      <c r="BK34"/>
      <c r="BL34"/>
      <c r="BM34"/>
      <c r="BN34"/>
      <c r="BO34"/>
      <c r="BP34"/>
      <c r="BQ34"/>
      <c r="BR34"/>
      <c r="BS34"/>
    </row>
    <row r="35" spans="1:71" ht="15" hidden="1" customHeight="1">
      <c r="A35" t="s">
        <v>149</v>
      </c>
      <c r="B35" t="s">
        <v>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1</v>
      </c>
      <c r="AL35">
        <v>3</v>
      </c>
      <c r="AM35">
        <v>3</v>
      </c>
      <c r="AN35">
        <v>5</v>
      </c>
      <c r="AO35">
        <v>6</v>
      </c>
      <c r="AP35">
        <v>7</v>
      </c>
      <c r="AQ35">
        <v>7</v>
      </c>
      <c r="AR35">
        <v>9</v>
      </c>
      <c r="AS35">
        <v>10</v>
      </c>
      <c r="AT35">
        <v>10</v>
      </c>
      <c r="AU35">
        <v>11</v>
      </c>
      <c r="AV35" s="6">
        <v>12</v>
      </c>
      <c r="AW35">
        <v>12</v>
      </c>
      <c r="AX35">
        <v>12</v>
      </c>
      <c r="AY35">
        <v>14</v>
      </c>
      <c r="AZ35">
        <v>19</v>
      </c>
      <c r="BA35">
        <v>19</v>
      </c>
      <c r="BB35" s="6">
        <v>32</v>
      </c>
      <c r="BC35" s="8">
        <f>AV35</f>
        <v>12</v>
      </c>
      <c r="BD35">
        <f t="shared" ref="BD35:BJ35" si="30">BC35*($AV35/$AU35)</f>
        <v>13.09090909090909</v>
      </c>
      <c r="BE35">
        <f t="shared" si="30"/>
        <v>14.280991735537189</v>
      </c>
      <c r="BF35">
        <f t="shared" si="30"/>
        <v>15.579263711495114</v>
      </c>
      <c r="BG35">
        <f t="shared" si="30"/>
        <v>16.995560412540122</v>
      </c>
      <c r="BH35">
        <f t="shared" si="30"/>
        <v>18.540611359134676</v>
      </c>
      <c r="BI35" s="8">
        <f t="shared" si="30"/>
        <v>20.226121482692371</v>
      </c>
      <c r="BJ35" s="6">
        <f t="shared" si="30"/>
        <v>22.064859799300766</v>
      </c>
      <c r="BK35" s="8">
        <f>AV35</f>
        <v>12</v>
      </c>
      <c r="BL35" s="9">
        <f t="shared" ref="BL35:BR35" si="31">BK35*($AV35/$AP35)^(1/7)</f>
        <v>12.960498437816936</v>
      </c>
      <c r="BM35" s="9">
        <f t="shared" si="31"/>
        <v>13.997876646387937</v>
      </c>
      <c r="BN35" s="9">
        <f t="shared" si="31"/>
        <v>15.118288200688752</v>
      </c>
      <c r="BO35" s="9">
        <f t="shared" si="31"/>
        <v>16.328379217291065</v>
      </c>
      <c r="BP35" s="9">
        <f t="shared" si="31"/>
        <v>17.635327778148614</v>
      </c>
      <c r="BQ35" s="9">
        <f t="shared" si="31"/>
        <v>19.046886509923727</v>
      </c>
      <c r="BR35" s="10">
        <f t="shared" si="31"/>
        <v>20.571428571428577</v>
      </c>
    </row>
    <row r="36" spans="1:71" ht="15" hidden="1" customHeight="1">
      <c r="A36" t="s">
        <v>149</v>
      </c>
      <c r="B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 s="6">
        <v>0</v>
      </c>
      <c r="AW36">
        <v>0</v>
      </c>
      <c r="AX36">
        <v>0</v>
      </c>
      <c r="AY36">
        <v>0</v>
      </c>
      <c r="AZ36">
        <v>0</v>
      </c>
      <c r="BA36">
        <v>3</v>
      </c>
      <c r="BB36" s="6">
        <v>4</v>
      </c>
      <c r="BI36"/>
      <c r="BJ36"/>
      <c r="BK36"/>
      <c r="BL36"/>
      <c r="BM36"/>
      <c r="BN36"/>
      <c r="BO36"/>
      <c r="BP36"/>
      <c r="BQ36"/>
      <c r="BR36"/>
      <c r="BS36"/>
    </row>
    <row r="37" spans="1:71" ht="15" hidden="1" customHeight="1">
      <c r="A37" t="s">
        <v>149</v>
      </c>
      <c r="B37" t="s">
        <v>89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 s="6">
        <v>0</v>
      </c>
      <c r="AW37">
        <v>0</v>
      </c>
      <c r="AX37">
        <v>2</v>
      </c>
      <c r="AY37">
        <v>3</v>
      </c>
      <c r="AZ37">
        <v>6</v>
      </c>
      <c r="BA37">
        <v>6</v>
      </c>
      <c r="BB37" s="6">
        <v>14</v>
      </c>
      <c r="BI37"/>
      <c r="BJ37"/>
      <c r="BK37"/>
      <c r="BL37"/>
      <c r="BM37"/>
      <c r="BN37"/>
      <c r="BO37"/>
      <c r="BP37"/>
      <c r="BQ37"/>
      <c r="BR37"/>
      <c r="BS37"/>
    </row>
    <row r="38" spans="1:71" ht="15" hidden="1" customHeight="1">
      <c r="A38" t="s">
        <v>149</v>
      </c>
      <c r="B38" t="s">
        <v>102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3</v>
      </c>
      <c r="AQ38">
        <v>3</v>
      </c>
      <c r="AR38">
        <v>5</v>
      </c>
      <c r="AS38">
        <v>8</v>
      </c>
      <c r="AT38">
        <v>12</v>
      </c>
      <c r="AU38">
        <v>18</v>
      </c>
      <c r="AV38" s="6">
        <v>19</v>
      </c>
      <c r="AW38">
        <v>31</v>
      </c>
      <c r="AX38">
        <v>31</v>
      </c>
      <c r="AY38">
        <v>41</v>
      </c>
      <c r="AZ38">
        <v>91</v>
      </c>
      <c r="BA38">
        <v>94</v>
      </c>
      <c r="BB38" s="6">
        <v>141</v>
      </c>
      <c r="BC38" s="8">
        <f t="shared" ref="BC38:BC44" si="32">AV38</f>
        <v>19</v>
      </c>
      <c r="BD38">
        <f t="shared" ref="BD38:BJ44" si="33">BC38*($AV38/$AU38)</f>
        <v>20.055555555555557</v>
      </c>
      <c r="BE38">
        <f t="shared" si="33"/>
        <v>21.169753086419757</v>
      </c>
      <c r="BF38">
        <f t="shared" si="33"/>
        <v>22.345850480109743</v>
      </c>
      <c r="BG38">
        <f t="shared" si="33"/>
        <v>23.587286617893618</v>
      </c>
      <c r="BH38">
        <f t="shared" si="33"/>
        <v>24.897691429998819</v>
      </c>
      <c r="BI38" s="8">
        <f t="shared" si="33"/>
        <v>26.280896509443199</v>
      </c>
      <c r="BJ38" s="6">
        <f t="shared" si="33"/>
        <v>27.740946315523377</v>
      </c>
      <c r="BK38" s="8">
        <f t="shared" ref="BK38:BK44" si="34">AV38</f>
        <v>19</v>
      </c>
      <c r="BL38" s="9">
        <f t="shared" ref="BL38:BR39" si="35">BK38*($AV38/$AP38)^(1/7)</f>
        <v>24.732755689993652</v>
      </c>
      <c r="BM38" s="9">
        <f t="shared" si="35"/>
        <v>32.195221264258599</v>
      </c>
      <c r="BN38" s="9">
        <f t="shared" si="35"/>
        <v>41.909291679694554</v>
      </c>
      <c r="BO38" s="9">
        <f t="shared" si="35"/>
        <v>54.554330118661539</v>
      </c>
      <c r="BP38" s="9">
        <f t="shared" si="35"/>
        <v>71.014679929269391</v>
      </c>
      <c r="BQ38" s="9">
        <f t="shared" si="35"/>
        <v>92.441512057563983</v>
      </c>
      <c r="BR38" s="10">
        <f t="shared" si="35"/>
        <v>120.3333333333333</v>
      </c>
    </row>
    <row r="39" spans="1:71" ht="15" hidden="1" customHeight="1">
      <c r="A39" t="s">
        <v>149</v>
      </c>
      <c r="B39" t="s">
        <v>142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1</v>
      </c>
      <c r="AN39">
        <v>1</v>
      </c>
      <c r="AO39">
        <v>3</v>
      </c>
      <c r="AP39">
        <v>4</v>
      </c>
      <c r="AQ39">
        <v>4</v>
      </c>
      <c r="AR39">
        <v>6</v>
      </c>
      <c r="AS39">
        <v>11</v>
      </c>
      <c r="AT39">
        <v>11</v>
      </c>
      <c r="AU39">
        <v>24</v>
      </c>
      <c r="AV39" s="6">
        <v>24</v>
      </c>
      <c r="AW39">
        <v>37</v>
      </c>
      <c r="AX39">
        <v>92</v>
      </c>
      <c r="AY39">
        <v>264</v>
      </c>
      <c r="AZ39">
        <v>444</v>
      </c>
      <c r="BA39">
        <v>617</v>
      </c>
      <c r="BB39" s="6">
        <v>804</v>
      </c>
      <c r="BC39" s="8">
        <f t="shared" si="32"/>
        <v>24</v>
      </c>
      <c r="BD39">
        <f t="shared" si="33"/>
        <v>24</v>
      </c>
      <c r="BE39">
        <f t="shared" si="33"/>
        <v>24</v>
      </c>
      <c r="BF39">
        <f t="shared" si="33"/>
        <v>24</v>
      </c>
      <c r="BG39">
        <f t="shared" si="33"/>
        <v>24</v>
      </c>
      <c r="BH39">
        <f t="shared" si="33"/>
        <v>24</v>
      </c>
      <c r="BI39" s="8">
        <f t="shared" si="33"/>
        <v>24</v>
      </c>
      <c r="BJ39" s="6">
        <f t="shared" si="33"/>
        <v>24</v>
      </c>
      <c r="BK39" s="8">
        <f t="shared" si="34"/>
        <v>24</v>
      </c>
      <c r="BL39" s="9">
        <f t="shared" si="35"/>
        <v>31.001000210177914</v>
      </c>
      <c r="BM39" s="9">
        <f t="shared" si="35"/>
        <v>40.044250584643798</v>
      </c>
      <c r="BN39" s="9">
        <f t="shared" si="35"/>
        <v>51.725492532956643</v>
      </c>
      <c r="BO39" s="9">
        <f t="shared" si="35"/>
        <v>66.814250203572712</v>
      </c>
      <c r="BP39" s="9">
        <f t="shared" si="35"/>
        <v>86.304524358493225</v>
      </c>
      <c r="BQ39" s="9">
        <f t="shared" si="35"/>
        <v>111.48027407403973</v>
      </c>
      <c r="BR39" s="10">
        <f t="shared" si="35"/>
        <v>143.99999999999989</v>
      </c>
    </row>
    <row r="40" spans="1:71" ht="15" customHeight="1">
      <c r="A40">
        <v>7</v>
      </c>
      <c r="B40" t="s">
        <v>143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61</v>
      </c>
      <c r="T40">
        <v>61</v>
      </c>
      <c r="U40">
        <v>64</v>
      </c>
      <c r="V40">
        <v>135</v>
      </c>
      <c r="W40">
        <v>135</v>
      </c>
      <c r="X40">
        <v>175</v>
      </c>
      <c r="Y40">
        <v>175</v>
      </c>
      <c r="Z40">
        <v>218</v>
      </c>
      <c r="AA40">
        <v>285</v>
      </c>
      <c r="AB40">
        <v>355</v>
      </c>
      <c r="AC40">
        <v>454</v>
      </c>
      <c r="AD40">
        <v>542</v>
      </c>
      <c r="AE40">
        <v>621</v>
      </c>
      <c r="AF40">
        <v>634</v>
      </c>
      <c r="AG40">
        <v>638</v>
      </c>
      <c r="AH40">
        <v>641</v>
      </c>
      <c r="AI40">
        <v>698</v>
      </c>
      <c r="AJ40">
        <v>734</v>
      </c>
      <c r="AK40">
        <v>734</v>
      </c>
      <c r="AL40">
        <v>754</v>
      </c>
      <c r="AM40">
        <v>755</v>
      </c>
      <c r="AN40">
        <v>757</v>
      </c>
      <c r="AO40">
        <v>749</v>
      </c>
      <c r="AP40">
        <v>749</v>
      </c>
      <c r="AQ40">
        <v>750</v>
      </c>
      <c r="AR40">
        <v>751</v>
      </c>
      <c r="AS40">
        <v>751</v>
      </c>
      <c r="AT40">
        <v>751</v>
      </c>
      <c r="AU40">
        <v>741</v>
      </c>
      <c r="AV40" s="6">
        <v>741</v>
      </c>
      <c r="AW40">
        <v>741</v>
      </c>
      <c r="AX40">
        <v>741</v>
      </c>
      <c r="AY40">
        <v>742</v>
      </c>
      <c r="AZ40">
        <v>742</v>
      </c>
      <c r="BA40">
        <v>742</v>
      </c>
      <c r="BB40" s="6">
        <v>742</v>
      </c>
      <c r="BC40" s="8">
        <f t="shared" si="32"/>
        <v>741</v>
      </c>
      <c r="BD40">
        <f t="shared" si="33"/>
        <v>741</v>
      </c>
      <c r="BE40">
        <f t="shared" si="33"/>
        <v>741</v>
      </c>
      <c r="BF40">
        <f t="shared" si="33"/>
        <v>741</v>
      </c>
      <c r="BG40">
        <f t="shared" si="33"/>
        <v>741</v>
      </c>
      <c r="BH40">
        <f t="shared" si="33"/>
        <v>741</v>
      </c>
      <c r="BI40" s="8">
        <f t="shared" si="33"/>
        <v>741</v>
      </c>
      <c r="BJ40" s="6">
        <f t="shared" si="33"/>
        <v>741</v>
      </c>
      <c r="BK40" s="8">
        <f t="shared" si="34"/>
        <v>741</v>
      </c>
      <c r="BL40" s="9">
        <f>BK40*($AV40/$AO40)^(1/7)</f>
        <v>739.8641395365263</v>
      </c>
      <c r="BM40" s="9">
        <f t="shared" ref="BM40:BR40" si="36">BL40*($AV40/$AO40)^(1/7)</f>
        <v>738.73002020529611</v>
      </c>
      <c r="BN40" s="9">
        <f t="shared" si="36"/>
        <v>737.59763933737122</v>
      </c>
      <c r="BO40" s="9">
        <f t="shared" si="36"/>
        <v>736.46699426790451</v>
      </c>
      <c r="BP40" s="9">
        <f t="shared" si="36"/>
        <v>735.33808233613365</v>
      </c>
      <c r="BQ40" s="9">
        <f t="shared" si="36"/>
        <v>734.21090088537494</v>
      </c>
      <c r="BR40" s="9">
        <f t="shared" si="36"/>
        <v>733.08544726301716</v>
      </c>
    </row>
    <row r="41" spans="1:71" ht="15" hidden="1" customHeight="1">
      <c r="A41" t="s">
        <v>149</v>
      </c>
      <c r="B41" t="s">
        <v>54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2</v>
      </c>
      <c r="AV41" s="6">
        <v>2</v>
      </c>
      <c r="AW41">
        <v>5</v>
      </c>
      <c r="AX41">
        <v>5</v>
      </c>
      <c r="AY41">
        <v>5</v>
      </c>
      <c r="AZ41">
        <v>5</v>
      </c>
      <c r="BA41">
        <v>5</v>
      </c>
      <c r="BB41" s="6">
        <v>5</v>
      </c>
      <c r="BC41" s="8">
        <f t="shared" si="32"/>
        <v>2</v>
      </c>
      <c r="BD41">
        <f t="shared" si="33"/>
        <v>2</v>
      </c>
      <c r="BE41">
        <f t="shared" si="33"/>
        <v>2</v>
      </c>
      <c r="BF41">
        <f t="shared" si="33"/>
        <v>2</v>
      </c>
      <c r="BG41">
        <f t="shared" si="33"/>
        <v>2</v>
      </c>
      <c r="BH41">
        <f t="shared" si="33"/>
        <v>2</v>
      </c>
      <c r="BI41" s="8">
        <f t="shared" si="33"/>
        <v>2</v>
      </c>
      <c r="BJ41" s="6">
        <f t="shared" si="33"/>
        <v>2</v>
      </c>
      <c r="BK41" s="8">
        <f t="shared" si="34"/>
        <v>2</v>
      </c>
      <c r="BL41" s="9">
        <f t="shared" ref="BL41:BR44" si="37">BK41*($AV41/$AP41)^(1/7)</f>
        <v>2.2081790273476245</v>
      </c>
      <c r="BM41" s="9">
        <f t="shared" si="37"/>
        <v>2.4380273084089503</v>
      </c>
      <c r="BN41" s="9">
        <f t="shared" si="37"/>
        <v>2.6918003852647114</v>
      </c>
      <c r="BO41" s="9">
        <f t="shared" si="37"/>
        <v>2.9719885782738955</v>
      </c>
      <c r="BP41" s="9">
        <f t="shared" si="37"/>
        <v>3.2813414240305501</v>
      </c>
      <c r="BQ41" s="9">
        <f t="shared" si="37"/>
        <v>3.6228946570556246</v>
      </c>
      <c r="BR41" s="10">
        <f t="shared" si="37"/>
        <v>3.9999999999999973</v>
      </c>
    </row>
    <row r="42" spans="1:71" ht="15" hidden="1" customHeight="1">
      <c r="A42" t="s">
        <v>149</v>
      </c>
      <c r="B42" t="s">
        <v>51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6</v>
      </c>
      <c r="AQ42">
        <v>6</v>
      </c>
      <c r="AR42">
        <v>7</v>
      </c>
      <c r="AS42">
        <v>10</v>
      </c>
      <c r="AT42">
        <v>13</v>
      </c>
      <c r="AU42">
        <v>13</v>
      </c>
      <c r="AV42" s="6">
        <v>13</v>
      </c>
      <c r="AW42">
        <v>14</v>
      </c>
      <c r="AX42">
        <v>15</v>
      </c>
      <c r="AY42">
        <v>15</v>
      </c>
      <c r="AZ42">
        <v>17</v>
      </c>
      <c r="BA42">
        <v>17</v>
      </c>
      <c r="BB42" s="6">
        <v>17</v>
      </c>
      <c r="BC42" s="8">
        <f t="shared" si="32"/>
        <v>13</v>
      </c>
      <c r="BD42">
        <f t="shared" si="33"/>
        <v>13</v>
      </c>
      <c r="BE42">
        <f t="shared" si="33"/>
        <v>13</v>
      </c>
      <c r="BF42">
        <f t="shared" si="33"/>
        <v>13</v>
      </c>
      <c r="BG42">
        <f t="shared" si="33"/>
        <v>13</v>
      </c>
      <c r="BH42">
        <f t="shared" si="33"/>
        <v>13</v>
      </c>
      <c r="BI42" s="8">
        <f t="shared" si="33"/>
        <v>13</v>
      </c>
      <c r="BJ42" s="6">
        <f t="shared" si="33"/>
        <v>13</v>
      </c>
      <c r="BK42" s="8">
        <f t="shared" si="34"/>
        <v>13</v>
      </c>
      <c r="BL42" s="9">
        <f t="shared" si="37"/>
        <v>14.518229341466334</v>
      </c>
      <c r="BM42" s="9">
        <f t="shared" si="37"/>
        <v>16.213767939339537</v>
      </c>
      <c r="BN42" s="9">
        <f t="shared" si="37"/>
        <v>18.107323187126571</v>
      </c>
      <c r="BO42" s="9">
        <f t="shared" si="37"/>
        <v>20.222020830058053</v>
      </c>
      <c r="BP42" s="9">
        <f t="shared" si="37"/>
        <v>22.58368739682248</v>
      </c>
      <c r="BQ42" s="9">
        <f t="shared" si="37"/>
        <v>25.221165615619352</v>
      </c>
      <c r="BR42" s="10">
        <f t="shared" si="37"/>
        <v>28.166666666666668</v>
      </c>
    </row>
    <row r="43" spans="1:71" ht="15" hidden="1" customHeight="1">
      <c r="A43" t="s">
        <v>149</v>
      </c>
      <c r="B43" t="s">
        <v>19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2</v>
      </c>
      <c r="AQ43">
        <v>2</v>
      </c>
      <c r="AR43">
        <v>2</v>
      </c>
      <c r="AS43">
        <v>2</v>
      </c>
      <c r="AT43">
        <v>3</v>
      </c>
      <c r="AU43">
        <v>15</v>
      </c>
      <c r="AV43" s="6">
        <v>15</v>
      </c>
      <c r="AW43">
        <v>49</v>
      </c>
      <c r="AX43">
        <v>55</v>
      </c>
      <c r="AY43">
        <v>59</v>
      </c>
      <c r="AZ43">
        <v>60</v>
      </c>
      <c r="BA43">
        <v>67</v>
      </c>
      <c r="BB43" s="6">
        <v>80</v>
      </c>
      <c r="BC43" s="8">
        <f t="shared" si="32"/>
        <v>15</v>
      </c>
      <c r="BD43">
        <f t="shared" si="33"/>
        <v>15</v>
      </c>
      <c r="BE43">
        <f t="shared" si="33"/>
        <v>15</v>
      </c>
      <c r="BF43">
        <f t="shared" si="33"/>
        <v>15</v>
      </c>
      <c r="BG43">
        <f t="shared" si="33"/>
        <v>15</v>
      </c>
      <c r="BH43">
        <f t="shared" si="33"/>
        <v>15</v>
      </c>
      <c r="BI43" s="8">
        <f t="shared" si="33"/>
        <v>15</v>
      </c>
      <c r="BJ43" s="6">
        <f t="shared" si="33"/>
        <v>15</v>
      </c>
      <c r="BK43" s="8">
        <f t="shared" si="34"/>
        <v>15</v>
      </c>
      <c r="BL43" s="9">
        <f t="shared" si="37"/>
        <v>20.003224583862867</v>
      </c>
      <c r="BM43" s="9">
        <f t="shared" si="37"/>
        <v>26.67526625016372</v>
      </c>
      <c r="BN43" s="9">
        <f t="shared" si="37"/>
        <v>35.572756109090825</v>
      </c>
      <c r="BO43" s="9">
        <f t="shared" si="37"/>
        <v>47.437988634474912</v>
      </c>
      <c r="BP43" s="9">
        <f t="shared" si="37"/>
        <v>63.260849364142395</v>
      </c>
      <c r="BQ43" s="9">
        <f t="shared" si="37"/>
        <v>84.361398479790594</v>
      </c>
      <c r="BR43" s="10">
        <f t="shared" si="37"/>
        <v>112.49999999999993</v>
      </c>
    </row>
    <row r="44" spans="1:71" ht="15" hidden="1" customHeight="1">
      <c r="A44" t="s">
        <v>149</v>
      </c>
      <c r="B44" t="s">
        <v>38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2</v>
      </c>
      <c r="AS44">
        <v>2</v>
      </c>
      <c r="AT44">
        <v>3</v>
      </c>
      <c r="AU44">
        <v>10</v>
      </c>
      <c r="AV44" s="6">
        <v>10</v>
      </c>
      <c r="AW44">
        <v>10</v>
      </c>
      <c r="AX44">
        <v>10</v>
      </c>
      <c r="AY44">
        <v>12</v>
      </c>
      <c r="AZ44">
        <v>16</v>
      </c>
      <c r="BA44">
        <v>16</v>
      </c>
      <c r="BB44" s="6">
        <v>79</v>
      </c>
      <c r="BC44" s="8">
        <f t="shared" si="32"/>
        <v>10</v>
      </c>
      <c r="BD44">
        <f t="shared" si="33"/>
        <v>10</v>
      </c>
      <c r="BE44">
        <f t="shared" si="33"/>
        <v>10</v>
      </c>
      <c r="BF44">
        <f t="shared" si="33"/>
        <v>10</v>
      </c>
      <c r="BG44">
        <f t="shared" si="33"/>
        <v>10</v>
      </c>
      <c r="BH44">
        <f t="shared" si="33"/>
        <v>10</v>
      </c>
      <c r="BI44" s="8">
        <f t="shared" si="33"/>
        <v>10</v>
      </c>
      <c r="BJ44" s="6">
        <f t="shared" si="33"/>
        <v>10</v>
      </c>
      <c r="BK44" s="8">
        <f t="shared" si="34"/>
        <v>10</v>
      </c>
      <c r="BL44" s="9">
        <f t="shared" si="37"/>
        <v>13.894954943731378</v>
      </c>
      <c r="BM44" s="9">
        <f t="shared" si="37"/>
        <v>19.306977288832503</v>
      </c>
      <c r="BN44" s="9">
        <f t="shared" si="37"/>
        <v>26.826957952797258</v>
      </c>
      <c r="BO44" s="9">
        <f t="shared" si="37"/>
        <v>37.275937203149404</v>
      </c>
      <c r="BP44" s="9">
        <f t="shared" si="37"/>
        <v>51.794746792312118</v>
      </c>
      <c r="BQ44" s="9">
        <f t="shared" si="37"/>
        <v>71.968567300115211</v>
      </c>
      <c r="BR44" s="10">
        <f t="shared" si="37"/>
        <v>100.00000000000001</v>
      </c>
    </row>
    <row r="45" spans="1:71" ht="15" hidden="1" customHeight="1">
      <c r="A45" t="s">
        <v>149</v>
      </c>
      <c r="B45" t="s">
        <v>134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 s="6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 s="6">
        <v>1</v>
      </c>
      <c r="BI45"/>
      <c r="BJ45"/>
      <c r="BK45"/>
      <c r="BL45"/>
      <c r="BM45"/>
      <c r="BN45"/>
      <c r="BO45"/>
      <c r="BP45"/>
      <c r="BQ45"/>
      <c r="BR45"/>
      <c r="BS45"/>
    </row>
    <row r="46" spans="1:71" ht="15" hidden="1" customHeight="1">
      <c r="A46" t="s">
        <v>149</v>
      </c>
      <c r="B46" t="s">
        <v>11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2</v>
      </c>
      <c r="AM46">
        <v>2</v>
      </c>
      <c r="AN46">
        <v>2</v>
      </c>
      <c r="AO46">
        <v>3</v>
      </c>
      <c r="AP46">
        <v>6</v>
      </c>
      <c r="AQ46">
        <v>6</v>
      </c>
      <c r="AR46">
        <v>6</v>
      </c>
      <c r="AS46">
        <v>6</v>
      </c>
      <c r="AT46">
        <v>12</v>
      </c>
      <c r="AU46">
        <v>15</v>
      </c>
      <c r="AV46" s="6">
        <v>15</v>
      </c>
      <c r="AW46">
        <v>23</v>
      </c>
      <c r="AX46">
        <v>30</v>
      </c>
      <c r="AY46">
        <v>40</v>
      </c>
      <c r="AZ46">
        <v>59</v>
      </c>
      <c r="BA46">
        <v>59</v>
      </c>
      <c r="BB46" s="6">
        <v>155</v>
      </c>
      <c r="BC46" s="8">
        <f>AV46</f>
        <v>15</v>
      </c>
      <c r="BD46">
        <f t="shared" ref="BD46:BJ47" si="38">BC46*($AV46/$AU46)</f>
        <v>15</v>
      </c>
      <c r="BE46">
        <f t="shared" si="38"/>
        <v>15</v>
      </c>
      <c r="BF46">
        <f t="shared" si="38"/>
        <v>15</v>
      </c>
      <c r="BG46">
        <f t="shared" si="38"/>
        <v>15</v>
      </c>
      <c r="BH46">
        <f t="shared" si="38"/>
        <v>15</v>
      </c>
      <c r="BI46" s="8">
        <f t="shared" si="38"/>
        <v>15</v>
      </c>
      <c r="BJ46" s="6">
        <f t="shared" si="38"/>
        <v>15</v>
      </c>
      <c r="BK46" s="8">
        <f>AV46</f>
        <v>15</v>
      </c>
      <c r="BL46" s="9">
        <f t="shared" ref="BL46:BR46" si="39">BK46*($AV46/$AP46)^(1/7)</f>
        <v>17.097784215713954</v>
      </c>
      <c r="BM46" s="9">
        <f t="shared" si="39"/>
        <v>19.488948339141146</v>
      </c>
      <c r="BN46" s="9">
        <f t="shared" si="39"/>
        <v>22.214522219588808</v>
      </c>
      <c r="BO46" s="9">
        <f t="shared" si="39"/>
        <v>25.321273824380828</v>
      </c>
      <c r="BP46" s="9">
        <f t="shared" si="39"/>
        <v>28.862511727751293</v>
      </c>
      <c r="BQ46" s="9">
        <f t="shared" si="39"/>
        <v>32.898999829640324</v>
      </c>
      <c r="BR46" s="10">
        <f t="shared" si="39"/>
        <v>37.500000000000021</v>
      </c>
    </row>
    <row r="47" spans="1:71" ht="15" customHeight="1">
      <c r="A47">
        <v>7</v>
      </c>
      <c r="B47" t="s">
        <v>141</v>
      </c>
      <c r="C47">
        <v>0</v>
      </c>
      <c r="D47">
        <v>0</v>
      </c>
      <c r="E47">
        <v>2</v>
      </c>
      <c r="F47">
        <v>3</v>
      </c>
      <c r="G47">
        <v>3</v>
      </c>
      <c r="H47">
        <v>3</v>
      </c>
      <c r="I47">
        <v>4</v>
      </c>
      <c r="J47">
        <v>5</v>
      </c>
      <c r="K47">
        <v>5</v>
      </c>
      <c r="L47">
        <v>5</v>
      </c>
      <c r="M47">
        <v>6</v>
      </c>
      <c r="N47">
        <v>6</v>
      </c>
      <c r="O47">
        <v>6</v>
      </c>
      <c r="P47">
        <v>6</v>
      </c>
      <c r="Q47">
        <v>6</v>
      </c>
      <c r="R47">
        <v>6</v>
      </c>
      <c r="S47">
        <v>6</v>
      </c>
      <c r="T47">
        <v>11</v>
      </c>
      <c r="U47">
        <v>11</v>
      </c>
      <c r="V47">
        <v>11</v>
      </c>
      <c r="W47">
        <v>11</v>
      </c>
      <c r="X47">
        <v>11</v>
      </c>
      <c r="Y47">
        <v>11</v>
      </c>
      <c r="Z47">
        <v>11</v>
      </c>
      <c r="AA47">
        <v>12</v>
      </c>
      <c r="AB47">
        <v>12</v>
      </c>
      <c r="AC47">
        <v>12</v>
      </c>
      <c r="AD47">
        <v>12</v>
      </c>
      <c r="AE47">
        <v>12</v>
      </c>
      <c r="AF47">
        <v>12</v>
      </c>
      <c r="AG47">
        <v>12</v>
      </c>
      <c r="AH47">
        <v>12</v>
      </c>
      <c r="AI47">
        <v>12</v>
      </c>
      <c r="AJ47">
        <v>12</v>
      </c>
      <c r="AK47">
        <v>14</v>
      </c>
      <c r="AL47">
        <v>18</v>
      </c>
      <c r="AM47">
        <v>38</v>
      </c>
      <c r="AN47">
        <v>57</v>
      </c>
      <c r="AO47">
        <v>100</v>
      </c>
      <c r="AP47">
        <v>130</v>
      </c>
      <c r="AQ47">
        <v>191</v>
      </c>
      <c r="AR47">
        <v>204</v>
      </c>
      <c r="AS47">
        <v>288</v>
      </c>
      <c r="AT47">
        <v>380</v>
      </c>
      <c r="AU47">
        <v>656</v>
      </c>
      <c r="AV47" s="6">
        <v>952</v>
      </c>
      <c r="AW47">
        <v>1129</v>
      </c>
      <c r="AX47">
        <v>1212</v>
      </c>
      <c r="AY47">
        <v>1787</v>
      </c>
      <c r="AZ47">
        <v>2284</v>
      </c>
      <c r="BA47">
        <v>2284</v>
      </c>
      <c r="BB47" s="6">
        <v>3667</v>
      </c>
      <c r="BC47" s="8">
        <f>AV47</f>
        <v>952</v>
      </c>
      <c r="BD47">
        <f t="shared" si="38"/>
        <v>1381.560975609756</v>
      </c>
      <c r="BE47">
        <f t="shared" si="38"/>
        <v>2004.9482450922069</v>
      </c>
      <c r="BF47">
        <f t="shared" si="38"/>
        <v>2909.6200142191783</v>
      </c>
      <c r="BG47">
        <f t="shared" si="38"/>
        <v>4222.4973377083197</v>
      </c>
      <c r="BH47">
        <f t="shared" si="38"/>
        <v>6127.7705266742687</v>
      </c>
      <c r="BI47" s="8">
        <f t="shared" si="38"/>
        <v>8892.7401545638768</v>
      </c>
      <c r="BJ47" s="6">
        <f t="shared" si="38"/>
        <v>12905.318029184162</v>
      </c>
      <c r="BK47" s="8">
        <f>AV47</f>
        <v>952</v>
      </c>
      <c r="BL47" s="9">
        <f>BK47*($AV47/$AO47)^(1/7)</f>
        <v>1313.5367463264288</v>
      </c>
      <c r="BM47" s="9">
        <f t="shared" ref="BM47:BR47" si="40">BL47*($AV47/$AO47)^(1/7)</f>
        <v>1812.3726722161985</v>
      </c>
      <c r="BN47" s="9">
        <f t="shared" si="40"/>
        <v>2500.6492678506311</v>
      </c>
      <c r="BO47" s="9">
        <f t="shared" si="40"/>
        <v>3450.3095619706769</v>
      </c>
      <c r="BP47" s="9">
        <f t="shared" si="40"/>
        <v>4760.618062867572</v>
      </c>
      <c r="BQ47" s="9">
        <f t="shared" si="40"/>
        <v>6568.5365134473705</v>
      </c>
      <c r="BR47" s="9">
        <f t="shared" si="40"/>
        <v>9063.0400000000045</v>
      </c>
    </row>
    <row r="48" spans="1:71" ht="15" hidden="1" customHeight="1">
      <c r="A48" t="s">
        <v>149</v>
      </c>
      <c r="B48" t="s">
        <v>81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 s="6">
        <v>5</v>
      </c>
      <c r="AW48">
        <v>5</v>
      </c>
      <c r="AX48">
        <v>5</v>
      </c>
      <c r="AY48">
        <v>5</v>
      </c>
      <c r="AZ48">
        <v>5</v>
      </c>
      <c r="BA48">
        <v>5</v>
      </c>
      <c r="BB48" s="6">
        <v>5</v>
      </c>
      <c r="BI48"/>
      <c r="BJ48"/>
      <c r="BK48"/>
      <c r="BL48"/>
      <c r="BM48"/>
      <c r="BN48"/>
      <c r="BO48"/>
      <c r="BP48"/>
      <c r="BQ48"/>
      <c r="BR48"/>
      <c r="BS48"/>
    </row>
    <row r="49" spans="1:71" ht="15" hidden="1" customHeight="1">
      <c r="A49" t="s">
        <v>149</v>
      </c>
      <c r="B49" t="s">
        <v>33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1</v>
      </c>
      <c r="AN49">
        <v>1</v>
      </c>
      <c r="AO49">
        <v>1</v>
      </c>
      <c r="AP49">
        <v>3</v>
      </c>
      <c r="AQ49">
        <v>3</v>
      </c>
      <c r="AR49">
        <v>3</v>
      </c>
      <c r="AS49">
        <v>3</v>
      </c>
      <c r="AT49">
        <v>4</v>
      </c>
      <c r="AU49">
        <v>4</v>
      </c>
      <c r="AV49" s="6">
        <v>4</v>
      </c>
      <c r="AW49">
        <v>13</v>
      </c>
      <c r="AX49">
        <v>15</v>
      </c>
      <c r="AY49">
        <v>15</v>
      </c>
      <c r="AZ49">
        <v>24</v>
      </c>
      <c r="BA49">
        <v>24</v>
      </c>
      <c r="BB49" s="6">
        <v>25</v>
      </c>
      <c r="BC49" s="8">
        <f>AV49</f>
        <v>4</v>
      </c>
      <c r="BD49">
        <f t="shared" ref="BD49:BJ51" si="41">BC49*($AV49/$AU49)</f>
        <v>4</v>
      </c>
      <c r="BE49">
        <f t="shared" si="41"/>
        <v>4</v>
      </c>
      <c r="BF49">
        <f t="shared" si="41"/>
        <v>4</v>
      </c>
      <c r="BG49">
        <f t="shared" si="41"/>
        <v>4</v>
      </c>
      <c r="BH49">
        <f t="shared" si="41"/>
        <v>4</v>
      </c>
      <c r="BI49" s="8">
        <f t="shared" si="41"/>
        <v>4</v>
      </c>
      <c r="BJ49" s="6">
        <f t="shared" si="41"/>
        <v>4</v>
      </c>
      <c r="BK49" s="8">
        <f>AV49</f>
        <v>4</v>
      </c>
      <c r="BL49" s="9">
        <f t="shared" ref="BL49:BR49" si="42">BK49*($AV49/$AP49)^(1/7)</f>
        <v>4.1678145097488342</v>
      </c>
      <c r="BM49" s="9">
        <f t="shared" si="42"/>
        <v>4.3426694469182285</v>
      </c>
      <c r="BN49" s="9">
        <f t="shared" si="42"/>
        <v>4.524860182977184</v>
      </c>
      <c r="BO49" s="9">
        <f t="shared" si="42"/>
        <v>4.7146944812992677</v>
      </c>
      <c r="BP49" s="9">
        <f t="shared" si="42"/>
        <v>4.9124930170479599</v>
      </c>
      <c r="BQ49" s="9">
        <f t="shared" si="42"/>
        <v>5.118589918873079</v>
      </c>
      <c r="BR49" s="10">
        <f t="shared" si="42"/>
        <v>5.3333333333333313</v>
      </c>
    </row>
    <row r="50" spans="1:71" ht="15" customHeight="1">
      <c r="A50">
        <v>7</v>
      </c>
      <c r="B50" t="s">
        <v>10</v>
      </c>
      <c r="C50">
        <v>0</v>
      </c>
      <c r="D50">
        <v>0</v>
      </c>
      <c r="E50">
        <v>0</v>
      </c>
      <c r="F50">
        <v>0</v>
      </c>
      <c r="G50">
        <v>0</v>
      </c>
      <c r="H50">
        <v>1</v>
      </c>
      <c r="I50">
        <v>4</v>
      </c>
      <c r="J50">
        <v>4</v>
      </c>
      <c r="K50">
        <v>4</v>
      </c>
      <c r="L50">
        <v>5</v>
      </c>
      <c r="M50">
        <v>8</v>
      </c>
      <c r="N50">
        <v>10</v>
      </c>
      <c r="O50">
        <v>12</v>
      </c>
      <c r="P50">
        <v>12</v>
      </c>
      <c r="Q50">
        <v>12</v>
      </c>
      <c r="R50">
        <v>12</v>
      </c>
      <c r="S50">
        <v>13</v>
      </c>
      <c r="T50">
        <v>13</v>
      </c>
      <c r="U50">
        <v>14</v>
      </c>
      <c r="V50">
        <v>14</v>
      </c>
      <c r="W50">
        <v>16</v>
      </c>
      <c r="X50">
        <v>16</v>
      </c>
      <c r="Y50">
        <v>16</v>
      </c>
      <c r="Z50">
        <v>16</v>
      </c>
      <c r="AA50">
        <v>16</v>
      </c>
      <c r="AB50">
        <v>16</v>
      </c>
      <c r="AC50">
        <v>16</v>
      </c>
      <c r="AD50">
        <v>16</v>
      </c>
      <c r="AE50">
        <v>16</v>
      </c>
      <c r="AF50">
        <v>16</v>
      </c>
      <c r="AG50">
        <v>16</v>
      </c>
      <c r="AH50">
        <v>16</v>
      </c>
      <c r="AI50">
        <v>16</v>
      </c>
      <c r="AJ50">
        <v>16</v>
      </c>
      <c r="AK50">
        <v>17</v>
      </c>
      <c r="AL50">
        <v>27</v>
      </c>
      <c r="AM50">
        <v>46</v>
      </c>
      <c r="AN50">
        <v>48</v>
      </c>
      <c r="AO50">
        <v>79</v>
      </c>
      <c r="AP50">
        <v>130</v>
      </c>
      <c r="AQ50">
        <v>159</v>
      </c>
      <c r="AR50">
        <v>196</v>
      </c>
      <c r="AS50">
        <v>262</v>
      </c>
      <c r="AT50">
        <v>482</v>
      </c>
      <c r="AU50">
        <v>670</v>
      </c>
      <c r="AV50" s="6">
        <v>799</v>
      </c>
      <c r="AW50">
        <v>1040</v>
      </c>
      <c r="AX50">
        <v>1176</v>
      </c>
      <c r="AY50">
        <v>1457</v>
      </c>
      <c r="AZ50">
        <v>1908</v>
      </c>
      <c r="BA50">
        <v>2078</v>
      </c>
      <c r="BB50" s="6">
        <v>3675</v>
      </c>
      <c r="BC50" s="8">
        <f>AV50</f>
        <v>799</v>
      </c>
      <c r="BD50">
        <f t="shared" si="41"/>
        <v>952.83731343283591</v>
      </c>
      <c r="BE50">
        <f t="shared" si="41"/>
        <v>1136.294049899755</v>
      </c>
      <c r="BF50">
        <f t="shared" si="41"/>
        <v>1355.0730535371706</v>
      </c>
      <c r="BG50">
        <f t="shared" si="41"/>
        <v>1615.9751787704467</v>
      </c>
      <c r="BH50">
        <f t="shared" si="41"/>
        <v>1927.1106982650551</v>
      </c>
      <c r="BI50" s="8">
        <f t="shared" si="41"/>
        <v>2298.1514147966855</v>
      </c>
      <c r="BJ50" s="6">
        <f t="shared" si="41"/>
        <v>2740.6313140635102</v>
      </c>
      <c r="BK50" s="8">
        <f>AV50</f>
        <v>799</v>
      </c>
      <c r="BL50" s="9">
        <f>BK50*($AV50/$AO50)^(1/7)</f>
        <v>1112.0049865352239</v>
      </c>
      <c r="BM50" s="9">
        <f t="shared" ref="BM50:BR50" si="43">BL50*($AV50/$AO50)^(1/7)</f>
        <v>1547.628398096625</v>
      </c>
      <c r="BN50" s="9">
        <f t="shared" si="43"/>
        <v>2153.9055018610356</v>
      </c>
      <c r="BO50" s="9">
        <f t="shared" si="43"/>
        <v>2997.689184724813</v>
      </c>
      <c r="BP50" s="9">
        <f t="shared" si="43"/>
        <v>4172.0216789695896</v>
      </c>
      <c r="BQ50" s="9">
        <f t="shared" si="43"/>
        <v>5806.3941313482355</v>
      </c>
      <c r="BR50" s="9">
        <f t="shared" si="43"/>
        <v>8081.0253164556916</v>
      </c>
    </row>
    <row r="51" spans="1:71" hidden="1">
      <c r="A51" t="s">
        <v>149</v>
      </c>
      <c r="B51" t="s">
        <v>34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1</v>
      </c>
      <c r="AM51">
        <v>3</v>
      </c>
      <c r="AN51">
        <v>4</v>
      </c>
      <c r="AO51">
        <v>4</v>
      </c>
      <c r="AP51">
        <v>7</v>
      </c>
      <c r="AQ51">
        <v>7</v>
      </c>
      <c r="AR51">
        <v>7</v>
      </c>
      <c r="AS51">
        <v>9</v>
      </c>
      <c r="AT51">
        <v>31</v>
      </c>
      <c r="AU51">
        <v>45</v>
      </c>
      <c r="AV51" s="6">
        <v>46</v>
      </c>
      <c r="AW51">
        <v>73</v>
      </c>
      <c r="AX51">
        <v>73</v>
      </c>
      <c r="AY51">
        <v>89</v>
      </c>
      <c r="AZ51">
        <v>99</v>
      </c>
      <c r="BA51">
        <v>99</v>
      </c>
      <c r="BB51" s="6">
        <v>190</v>
      </c>
      <c r="BC51" s="8">
        <f>AV51</f>
        <v>46</v>
      </c>
      <c r="BD51">
        <f t="shared" si="41"/>
        <v>47.022222222222219</v>
      </c>
      <c r="BE51">
        <f t="shared" si="41"/>
        <v>48.067160493827153</v>
      </c>
      <c r="BF51">
        <f t="shared" si="41"/>
        <v>49.135319615912195</v>
      </c>
      <c r="BG51">
        <f t="shared" si="41"/>
        <v>50.227215607376905</v>
      </c>
      <c r="BH51">
        <f t="shared" si="41"/>
        <v>51.343375954207502</v>
      </c>
      <c r="BI51" s="8">
        <f t="shared" si="41"/>
        <v>52.484339864300999</v>
      </c>
      <c r="BJ51" s="6">
        <f t="shared" si="41"/>
        <v>53.650658527952132</v>
      </c>
      <c r="BK51" s="8">
        <f>AV51</f>
        <v>46</v>
      </c>
      <c r="BL51" s="9">
        <f>BK51*($AV51/$AT51)^(1/2)</f>
        <v>56.034551552965382</v>
      </c>
      <c r="BM51" s="9">
        <f t="shared" ref="BM51:BR51" si="44">BL51*($AV51/$AT51)^(1/2)</f>
        <v>68.258064516129025</v>
      </c>
      <c r="BN51" s="9">
        <f t="shared" si="44"/>
        <v>83.148044239884101</v>
      </c>
      <c r="BO51" s="9">
        <f t="shared" si="44"/>
        <v>101.28616024973982</v>
      </c>
      <c r="BP51" s="9">
        <f t="shared" si="44"/>
        <v>123.38096887208606</v>
      </c>
      <c r="BQ51" s="9">
        <f t="shared" si="44"/>
        <v>150.29559262864615</v>
      </c>
      <c r="BR51" s="9">
        <f t="shared" si="44"/>
        <v>183.08143768115991</v>
      </c>
    </row>
    <row r="52" spans="1:71" ht="15" hidden="1" customHeight="1">
      <c r="A52" t="s">
        <v>149</v>
      </c>
      <c r="B52" t="s">
        <v>133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 s="6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 s="6">
        <v>1</v>
      </c>
      <c r="BI52"/>
      <c r="BJ52"/>
      <c r="BK52"/>
      <c r="BL52"/>
      <c r="BM52"/>
      <c r="BN52"/>
      <c r="BO52"/>
      <c r="BP52"/>
      <c r="BQ52"/>
      <c r="BR52"/>
      <c r="BS52"/>
    </row>
    <row r="53" spans="1:71" ht="15" hidden="1" customHeight="1">
      <c r="A53" t="s">
        <v>149</v>
      </c>
      <c r="B53" t="s">
        <v>136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 s="6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 s="6">
        <v>1</v>
      </c>
      <c r="BI53"/>
      <c r="BJ53"/>
      <c r="BK53"/>
      <c r="BL53"/>
      <c r="BM53"/>
      <c r="BN53"/>
      <c r="BO53"/>
      <c r="BP53"/>
      <c r="BQ53"/>
      <c r="BR53"/>
      <c r="BS53"/>
    </row>
    <row r="54" spans="1:71" ht="15" hidden="1" customHeight="1">
      <c r="A54" t="s">
        <v>149</v>
      </c>
      <c r="B54" t="s">
        <v>130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 s="6">
        <v>0</v>
      </c>
      <c r="AW54">
        <v>0</v>
      </c>
      <c r="AX54">
        <v>0</v>
      </c>
      <c r="AY54">
        <v>0</v>
      </c>
      <c r="AZ54">
        <v>0</v>
      </c>
      <c r="BA54">
        <v>1</v>
      </c>
      <c r="BB54" s="6">
        <v>1</v>
      </c>
      <c r="BI54"/>
      <c r="BJ54"/>
      <c r="BK54"/>
      <c r="BL54"/>
      <c r="BM54"/>
      <c r="BN54"/>
      <c r="BO54"/>
      <c r="BP54"/>
      <c r="BQ54"/>
      <c r="BR54"/>
      <c r="BS54"/>
    </row>
    <row r="55" spans="1:71" ht="15" hidden="1" customHeight="1">
      <c r="A55" t="s">
        <v>149</v>
      </c>
      <c r="B55" t="s">
        <v>94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1</v>
      </c>
      <c r="AV55" s="6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 s="6">
        <v>1</v>
      </c>
      <c r="BC55" s="8">
        <f>AV55</f>
        <v>1</v>
      </c>
      <c r="BD55">
        <f t="shared" ref="BD55:BJ55" si="45">BC55*($AV55/$AU55)</f>
        <v>1</v>
      </c>
      <c r="BE55">
        <f t="shared" si="45"/>
        <v>1</v>
      </c>
      <c r="BF55">
        <f t="shared" si="45"/>
        <v>1</v>
      </c>
      <c r="BG55">
        <f t="shared" si="45"/>
        <v>1</v>
      </c>
      <c r="BH55">
        <f t="shared" si="45"/>
        <v>1</v>
      </c>
      <c r="BI55" s="8">
        <f t="shared" si="45"/>
        <v>1</v>
      </c>
      <c r="BJ55" s="6">
        <f t="shared" si="45"/>
        <v>1</v>
      </c>
      <c r="BK55" s="8">
        <f>AV55</f>
        <v>1</v>
      </c>
      <c r="BL55" s="9" t="e">
        <f t="shared" ref="BL55:BR55" si="46">BK55*($AV55/$AP55)^(1/7)</f>
        <v>#DIV/0!</v>
      </c>
      <c r="BM55" s="9" t="e">
        <f t="shared" si="46"/>
        <v>#DIV/0!</v>
      </c>
      <c r="BN55" s="9" t="e">
        <f t="shared" si="46"/>
        <v>#DIV/0!</v>
      </c>
      <c r="BO55" s="9" t="e">
        <f t="shared" si="46"/>
        <v>#DIV/0!</v>
      </c>
      <c r="BP55" s="9" t="e">
        <f t="shared" si="46"/>
        <v>#DIV/0!</v>
      </c>
      <c r="BQ55" s="9" t="e">
        <f t="shared" si="46"/>
        <v>#DIV/0!</v>
      </c>
      <c r="BR55" s="10" t="e">
        <f t="shared" si="46"/>
        <v>#DIV/0!</v>
      </c>
    </row>
    <row r="56" spans="1:71" ht="15" hidden="1" customHeight="1">
      <c r="A56" t="s">
        <v>149</v>
      </c>
      <c r="B56" t="s">
        <v>108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 s="6">
        <v>0</v>
      </c>
      <c r="AW56">
        <v>0</v>
      </c>
      <c r="AX56">
        <v>0</v>
      </c>
      <c r="AY56">
        <v>0</v>
      </c>
      <c r="AZ56">
        <v>2</v>
      </c>
      <c r="BA56">
        <v>2</v>
      </c>
      <c r="BB56" s="6">
        <v>2</v>
      </c>
      <c r="BI56"/>
      <c r="BJ56"/>
      <c r="BK56"/>
      <c r="BL56"/>
      <c r="BM56"/>
      <c r="BN56"/>
      <c r="BO56"/>
      <c r="BP56"/>
      <c r="BQ56"/>
      <c r="BR56"/>
      <c r="BS56"/>
    </row>
    <row r="57" spans="1:71" ht="15" hidden="1" customHeight="1">
      <c r="A57" t="s">
        <v>149</v>
      </c>
      <c r="B57" t="s">
        <v>66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2</v>
      </c>
      <c r="AT57">
        <v>2</v>
      </c>
      <c r="AU57">
        <v>2</v>
      </c>
      <c r="AV57" s="6">
        <v>4</v>
      </c>
      <c r="AW57">
        <v>7</v>
      </c>
      <c r="AX57">
        <v>9</v>
      </c>
      <c r="AY57">
        <v>9</v>
      </c>
      <c r="AZ57">
        <v>13</v>
      </c>
      <c r="BA57">
        <v>13</v>
      </c>
      <c r="BB57" s="6">
        <v>19</v>
      </c>
      <c r="BC57" s="8">
        <f t="shared" ref="BC57:BC65" si="47">AV57</f>
        <v>4</v>
      </c>
      <c r="BD57">
        <f t="shared" ref="BD57:BJ60" si="48">BC57*($AV57/$AU57)</f>
        <v>8</v>
      </c>
      <c r="BE57">
        <f t="shared" si="48"/>
        <v>16</v>
      </c>
      <c r="BF57">
        <f t="shared" si="48"/>
        <v>32</v>
      </c>
      <c r="BG57">
        <f t="shared" si="48"/>
        <v>64</v>
      </c>
      <c r="BH57">
        <f t="shared" si="48"/>
        <v>128</v>
      </c>
      <c r="BI57" s="8">
        <f t="shared" si="48"/>
        <v>256</v>
      </c>
      <c r="BJ57" s="6">
        <f t="shared" si="48"/>
        <v>512</v>
      </c>
      <c r="BK57" s="8">
        <f t="shared" ref="BK57:BK65" si="49">AV57</f>
        <v>4</v>
      </c>
      <c r="BL57" s="9" t="e">
        <f t="shared" ref="BL57:BR57" si="50">BK57*($AV57/$AP57)^(1/7)</f>
        <v>#DIV/0!</v>
      </c>
      <c r="BM57" s="9" t="e">
        <f t="shared" si="50"/>
        <v>#DIV/0!</v>
      </c>
      <c r="BN57" s="9" t="e">
        <f t="shared" si="50"/>
        <v>#DIV/0!</v>
      </c>
      <c r="BO57" s="9" t="e">
        <f t="shared" si="50"/>
        <v>#DIV/0!</v>
      </c>
      <c r="BP57" s="9" t="e">
        <f t="shared" si="50"/>
        <v>#DIV/0!</v>
      </c>
      <c r="BQ57" s="9" t="e">
        <f t="shared" si="50"/>
        <v>#DIV/0!</v>
      </c>
      <c r="BR57" s="10" t="e">
        <f t="shared" si="50"/>
        <v>#DIV/0!</v>
      </c>
    </row>
    <row r="58" spans="1:71" hidden="1">
      <c r="A58" t="s">
        <v>149</v>
      </c>
      <c r="B58" t="s">
        <v>42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1</v>
      </c>
      <c r="AO58">
        <v>1</v>
      </c>
      <c r="AP58">
        <v>3</v>
      </c>
      <c r="AQ58">
        <v>6</v>
      </c>
      <c r="AR58">
        <v>11</v>
      </c>
      <c r="AS58">
        <v>26</v>
      </c>
      <c r="AT58">
        <v>34</v>
      </c>
      <c r="AU58">
        <v>43</v>
      </c>
      <c r="AV58" s="6">
        <v>50</v>
      </c>
      <c r="AW58">
        <v>50</v>
      </c>
      <c r="AX58">
        <v>58</v>
      </c>
      <c r="AY58">
        <v>69</v>
      </c>
      <c r="AZ58">
        <v>85</v>
      </c>
      <c r="BA58">
        <v>103</v>
      </c>
      <c r="BB58" s="6">
        <v>134</v>
      </c>
      <c r="BC58" s="8">
        <f t="shared" si="47"/>
        <v>50</v>
      </c>
      <c r="BD58">
        <f t="shared" si="48"/>
        <v>58.139534883720934</v>
      </c>
      <c r="BE58">
        <f t="shared" si="48"/>
        <v>67.604110329908067</v>
      </c>
      <c r="BF58">
        <f t="shared" si="48"/>
        <v>78.609430616172176</v>
      </c>
      <c r="BG58">
        <f t="shared" si="48"/>
        <v>91.406314669967657</v>
      </c>
      <c r="BH58">
        <f t="shared" si="48"/>
        <v>106.28641240693914</v>
      </c>
      <c r="BI58" s="8">
        <f t="shared" si="48"/>
        <v>123.58885163597574</v>
      </c>
      <c r="BJ58" s="6">
        <f t="shared" si="48"/>
        <v>143.70796701857645</v>
      </c>
      <c r="BK58" s="8">
        <f t="shared" si="49"/>
        <v>50</v>
      </c>
      <c r="BL58" s="9">
        <f>BK58*($AV58/$AS58)^(1/3)</f>
        <v>62.177829329929054</v>
      </c>
      <c r="BM58" s="9">
        <f t="shared" ref="BM58:BR58" si="51">BL58*($AV58/$AS58)^(1/3)</f>
        <v>77.321649203635715</v>
      </c>
      <c r="BN58" s="9">
        <f t="shared" si="51"/>
        <v>96.153846153846132</v>
      </c>
      <c r="BO58" s="9">
        <f t="shared" si="51"/>
        <v>119.572748711402</v>
      </c>
      <c r="BP58" s="9">
        <f t="shared" si="51"/>
        <v>148.69547923776096</v>
      </c>
      <c r="BQ58" s="9">
        <f t="shared" si="51"/>
        <v>184.91124260355022</v>
      </c>
      <c r="BR58" s="9">
        <f t="shared" si="51"/>
        <v>229.94759367577305</v>
      </c>
    </row>
    <row r="59" spans="1:71" hidden="1">
      <c r="A59" t="s">
        <v>149</v>
      </c>
      <c r="B59" t="s">
        <v>14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1</v>
      </c>
      <c r="M59">
        <v>1</v>
      </c>
      <c r="N59">
        <v>2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5</v>
      </c>
      <c r="AR59">
        <v>5</v>
      </c>
      <c r="AS59">
        <v>28</v>
      </c>
      <c r="AT59">
        <v>30</v>
      </c>
      <c r="AU59">
        <v>31</v>
      </c>
      <c r="AV59" s="6">
        <v>34</v>
      </c>
      <c r="AW59">
        <v>39</v>
      </c>
      <c r="AX59">
        <v>43</v>
      </c>
      <c r="AY59">
        <v>56</v>
      </c>
      <c r="AZ59">
        <v>62</v>
      </c>
      <c r="BA59">
        <v>73</v>
      </c>
      <c r="BB59" s="6">
        <v>82</v>
      </c>
      <c r="BC59" s="8">
        <f t="shared" si="47"/>
        <v>34</v>
      </c>
      <c r="BD59">
        <f t="shared" si="48"/>
        <v>37.29032258064516</v>
      </c>
      <c r="BE59">
        <f t="shared" si="48"/>
        <v>40.899063475546299</v>
      </c>
      <c r="BF59">
        <f t="shared" si="48"/>
        <v>44.857037360276586</v>
      </c>
      <c r="BG59">
        <f t="shared" si="48"/>
        <v>49.198040975787222</v>
      </c>
      <c r="BH59">
        <f t="shared" si="48"/>
        <v>53.959141715379531</v>
      </c>
      <c r="BI59" s="8">
        <f t="shared" si="48"/>
        <v>59.180994139448515</v>
      </c>
      <c r="BJ59" s="6">
        <f t="shared" si="48"/>
        <v>64.908187120685469</v>
      </c>
      <c r="BK59" s="8">
        <f t="shared" si="49"/>
        <v>34</v>
      </c>
      <c r="BL59" s="9">
        <f>BK59*($AV59/$AS59)^(1/3)</f>
        <v>36.273200707634182</v>
      </c>
      <c r="BM59" s="9">
        <f t="shared" ref="BM59:BR59" si="52">BL59*($AV59/$AS59)^(1/3)</f>
        <v>38.698384987538617</v>
      </c>
      <c r="BN59" s="9">
        <f t="shared" si="52"/>
        <v>41.285714285714285</v>
      </c>
      <c r="BO59" s="9">
        <f t="shared" si="52"/>
        <v>44.046029430698646</v>
      </c>
      <c r="BP59" s="9">
        <f t="shared" si="52"/>
        <v>46.990896056296883</v>
      </c>
      <c r="BQ59" s="9">
        <f t="shared" si="52"/>
        <v>50.132653061224481</v>
      </c>
      <c r="BR59" s="9">
        <f t="shared" si="52"/>
        <v>53.484464308705491</v>
      </c>
    </row>
    <row r="60" spans="1:71" ht="15" hidden="1" customHeight="1">
      <c r="A60" t="s">
        <v>149</v>
      </c>
      <c r="B60" t="s">
        <v>55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2</v>
      </c>
      <c r="AR60">
        <v>2</v>
      </c>
      <c r="AS60">
        <v>2</v>
      </c>
      <c r="AT60">
        <v>2</v>
      </c>
      <c r="AU60">
        <v>4</v>
      </c>
      <c r="AV60" s="6">
        <v>4</v>
      </c>
      <c r="AW60">
        <v>6</v>
      </c>
      <c r="AX60">
        <v>19</v>
      </c>
      <c r="AY60">
        <v>27</v>
      </c>
      <c r="AZ60">
        <v>34</v>
      </c>
      <c r="BA60">
        <v>34</v>
      </c>
      <c r="BB60" s="6">
        <v>69</v>
      </c>
      <c r="BC60" s="8">
        <f t="shared" si="47"/>
        <v>4</v>
      </c>
      <c r="BD60">
        <f t="shared" si="48"/>
        <v>4</v>
      </c>
      <c r="BE60">
        <f t="shared" si="48"/>
        <v>4</v>
      </c>
      <c r="BF60">
        <f t="shared" si="48"/>
        <v>4</v>
      </c>
      <c r="BG60">
        <f t="shared" si="48"/>
        <v>4</v>
      </c>
      <c r="BH60">
        <f t="shared" si="48"/>
        <v>4</v>
      </c>
      <c r="BI60" s="8">
        <f t="shared" si="48"/>
        <v>4</v>
      </c>
      <c r="BJ60" s="6">
        <f t="shared" si="48"/>
        <v>4</v>
      </c>
      <c r="BK60" s="8">
        <f t="shared" si="49"/>
        <v>4</v>
      </c>
      <c r="BL60" s="9" t="e">
        <f t="shared" ref="BL60:BR60" si="53">BK60*($AV60/$AP60)^(1/7)</f>
        <v>#DIV/0!</v>
      </c>
      <c r="BM60" s="9" t="e">
        <f t="shared" si="53"/>
        <v>#DIV/0!</v>
      </c>
      <c r="BN60" s="9" t="e">
        <f t="shared" si="53"/>
        <v>#DIV/0!</v>
      </c>
      <c r="BO60" s="9" t="e">
        <f t="shared" si="53"/>
        <v>#DIV/0!</v>
      </c>
      <c r="BP60" s="9" t="e">
        <f t="shared" si="53"/>
        <v>#DIV/0!</v>
      </c>
      <c r="BQ60" s="9" t="e">
        <f t="shared" si="53"/>
        <v>#DIV/0!</v>
      </c>
      <c r="BR60" s="10" t="e">
        <f t="shared" si="53"/>
        <v>#DIV/0!</v>
      </c>
    </row>
    <row r="61" spans="1:71" ht="15" customHeight="1">
      <c r="A61">
        <v>7</v>
      </c>
      <c r="B61" t="s">
        <v>97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2</v>
      </c>
      <c r="AF61">
        <v>5</v>
      </c>
      <c r="AG61">
        <v>18</v>
      </c>
      <c r="AH61">
        <v>28</v>
      </c>
      <c r="AI61">
        <v>43</v>
      </c>
      <c r="AJ61">
        <v>61</v>
      </c>
      <c r="AK61">
        <v>95</v>
      </c>
      <c r="AL61">
        <v>139</v>
      </c>
      <c r="AM61">
        <v>245</v>
      </c>
      <c r="AN61">
        <v>388</v>
      </c>
      <c r="AO61">
        <v>593</v>
      </c>
      <c r="AP61">
        <v>978</v>
      </c>
      <c r="AQ61">
        <v>1501</v>
      </c>
      <c r="AR61">
        <v>2336</v>
      </c>
      <c r="AS61">
        <v>2922</v>
      </c>
      <c r="AT61">
        <v>3513</v>
      </c>
      <c r="AU61">
        <v>4747</v>
      </c>
      <c r="AV61" s="6">
        <v>5823</v>
      </c>
      <c r="AW61">
        <v>6566</v>
      </c>
      <c r="AX61">
        <v>7161</v>
      </c>
      <c r="AY61">
        <v>8042</v>
      </c>
      <c r="AZ61">
        <v>9000</v>
      </c>
      <c r="BA61">
        <v>10075</v>
      </c>
      <c r="BB61" s="6">
        <v>11364</v>
      </c>
      <c r="BC61" s="8">
        <f t="shared" si="47"/>
        <v>5823</v>
      </c>
      <c r="BD61">
        <f t="shared" ref="BD61:BJ61" si="54">BC61*($AV61/$AU61)</f>
        <v>7142.8963555930068</v>
      </c>
      <c r="BE61">
        <f t="shared" si="54"/>
        <v>8761.9729257674499</v>
      </c>
      <c r="BF61">
        <f t="shared" si="54"/>
        <v>10748.044732829969</v>
      </c>
      <c r="BG61">
        <f t="shared" si="54"/>
        <v>13184.298394621637</v>
      </c>
      <c r="BH61">
        <f t="shared" si="54"/>
        <v>16172.776396014704</v>
      </c>
      <c r="BI61" s="8">
        <f t="shared" si="54"/>
        <v>19838.651138401859</v>
      </c>
      <c r="BJ61" s="6">
        <f t="shared" si="54"/>
        <v>24335.467785741319</v>
      </c>
      <c r="BK61" s="8">
        <f t="shared" si="49"/>
        <v>5823</v>
      </c>
      <c r="BL61" s="9">
        <f>BK61*($AV61/$AO61)^(1/7)</f>
        <v>8070.0129660232406</v>
      </c>
      <c r="BM61" s="9">
        <f t="shared" ref="BM61:BR61" si="55">BL61*($AV61/$AO61)^(1/7)</f>
        <v>11184.116309768713</v>
      </c>
      <c r="BN61" s="9">
        <f t="shared" si="55"/>
        <v>15499.907888261294</v>
      </c>
      <c r="BO61" s="9">
        <f t="shared" si="55"/>
        <v>21481.102117539849</v>
      </c>
      <c r="BP61" s="9">
        <f t="shared" si="55"/>
        <v>29770.354218275093</v>
      </c>
      <c r="BQ61" s="9">
        <f t="shared" si="55"/>
        <v>41258.310929861698</v>
      </c>
      <c r="BR61" s="9">
        <f t="shared" si="55"/>
        <v>57179.30691399661</v>
      </c>
      <c r="BS61"/>
    </row>
    <row r="62" spans="1:71" hidden="1">
      <c r="A62" t="s">
        <v>149</v>
      </c>
      <c r="B62" t="s">
        <v>21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1</v>
      </c>
      <c r="AK62">
        <v>1</v>
      </c>
      <c r="AL62">
        <v>5</v>
      </c>
      <c r="AM62">
        <v>7</v>
      </c>
      <c r="AN62">
        <v>7</v>
      </c>
      <c r="AO62">
        <v>13</v>
      </c>
      <c r="AP62">
        <v>19</v>
      </c>
      <c r="AQ62">
        <v>26</v>
      </c>
      <c r="AR62">
        <v>32</v>
      </c>
      <c r="AS62">
        <v>35</v>
      </c>
      <c r="AT62">
        <v>35</v>
      </c>
      <c r="AU62">
        <v>40</v>
      </c>
      <c r="AV62" s="6">
        <v>54</v>
      </c>
      <c r="AW62">
        <v>60</v>
      </c>
      <c r="AX62">
        <v>60</v>
      </c>
      <c r="AY62">
        <v>71</v>
      </c>
      <c r="AZ62">
        <v>71</v>
      </c>
      <c r="BA62">
        <v>71</v>
      </c>
      <c r="BB62" s="6">
        <v>101</v>
      </c>
      <c r="BC62" s="8">
        <f t="shared" si="47"/>
        <v>54</v>
      </c>
      <c r="BD62">
        <f t="shared" ref="BD62:BJ62" si="56">BC62*($AV62/$AU62)</f>
        <v>72.900000000000006</v>
      </c>
      <c r="BE62">
        <f t="shared" si="56"/>
        <v>98.41500000000002</v>
      </c>
      <c r="BF62">
        <f t="shared" si="56"/>
        <v>132.86025000000004</v>
      </c>
      <c r="BG62">
        <f t="shared" si="56"/>
        <v>179.36133750000005</v>
      </c>
      <c r="BH62">
        <f t="shared" si="56"/>
        <v>242.13780562500008</v>
      </c>
      <c r="BI62" s="8">
        <f t="shared" si="56"/>
        <v>326.88603759375013</v>
      </c>
      <c r="BJ62" s="6">
        <f t="shared" si="56"/>
        <v>441.29615075156272</v>
      </c>
      <c r="BK62" s="8">
        <f t="shared" si="49"/>
        <v>54</v>
      </c>
      <c r="BL62" s="9">
        <f>BK62*($AV62/$AQ62)^(1/5)</f>
        <v>62.49968697143872</v>
      </c>
      <c r="BM62" s="9">
        <f t="shared" ref="BM62:BR62" si="57">BL62*($AV62/$AQ62)^(1/5)</f>
        <v>72.337238361626419</v>
      </c>
      <c r="BN62" s="9">
        <f t="shared" si="57"/>
        <v>83.723236184814809</v>
      </c>
      <c r="BO62" s="9">
        <f t="shared" si="57"/>
        <v>96.901408403458461</v>
      </c>
      <c r="BP62" s="9">
        <f t="shared" si="57"/>
        <v>112.1538461538462</v>
      </c>
      <c r="BQ62" s="9">
        <f t="shared" si="57"/>
        <v>129.80704217144969</v>
      </c>
      <c r="BR62" s="9">
        <f t="shared" si="57"/>
        <v>150.23887967414723</v>
      </c>
    </row>
    <row r="63" spans="1:71" ht="15" hidden="1" customHeight="1">
      <c r="A63" t="s">
        <v>149</v>
      </c>
      <c r="B63" t="s">
        <v>47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1</v>
      </c>
      <c r="AP63">
        <v>1</v>
      </c>
      <c r="AQ63">
        <v>1</v>
      </c>
      <c r="AR63">
        <v>2</v>
      </c>
      <c r="AS63">
        <v>6</v>
      </c>
      <c r="AT63">
        <v>6</v>
      </c>
      <c r="AU63">
        <v>18</v>
      </c>
      <c r="AV63" s="6">
        <v>18</v>
      </c>
      <c r="AW63">
        <v>19</v>
      </c>
      <c r="AX63">
        <v>21</v>
      </c>
      <c r="AY63">
        <v>34</v>
      </c>
      <c r="AZ63">
        <v>43</v>
      </c>
      <c r="BA63">
        <v>43</v>
      </c>
      <c r="BB63" s="6">
        <v>90</v>
      </c>
      <c r="BC63" s="8">
        <f t="shared" si="47"/>
        <v>18</v>
      </c>
      <c r="BD63">
        <f t="shared" ref="BD63:BJ65" si="58">BC63*($AV63/$AU63)</f>
        <v>18</v>
      </c>
      <c r="BE63">
        <f t="shared" si="58"/>
        <v>18</v>
      </c>
      <c r="BF63">
        <f t="shared" si="58"/>
        <v>18</v>
      </c>
      <c r="BG63">
        <f t="shared" si="58"/>
        <v>18</v>
      </c>
      <c r="BH63">
        <f t="shared" si="58"/>
        <v>18</v>
      </c>
      <c r="BI63" s="8">
        <f t="shared" si="58"/>
        <v>18</v>
      </c>
      <c r="BJ63" s="6">
        <f t="shared" si="58"/>
        <v>18</v>
      </c>
      <c r="BK63" s="8">
        <f t="shared" si="49"/>
        <v>18</v>
      </c>
      <c r="BL63" s="9">
        <f t="shared" ref="BL63:BR64" si="59">BK63*($AV63/$AP63)^(1/7)</f>
        <v>27.201769029169256</v>
      </c>
      <c r="BM63" s="9">
        <f t="shared" si="59"/>
        <v>41.107568795348428</v>
      </c>
      <c r="BN63" s="9">
        <f t="shared" si="59"/>
        <v>62.12214398454185</v>
      </c>
      <c r="BO63" s="9">
        <f t="shared" si="59"/>
        <v>93.879567348016863</v>
      </c>
      <c r="BP63" s="9">
        <f t="shared" si="59"/>
        <v>141.87168375328301</v>
      </c>
      <c r="BQ63" s="9">
        <f t="shared" si="59"/>
        <v>214.39782073534158</v>
      </c>
      <c r="BR63" s="10">
        <f t="shared" si="59"/>
        <v>323.99999999999983</v>
      </c>
    </row>
    <row r="64" spans="1:71" ht="15" hidden="1" customHeight="1">
      <c r="A64" t="s">
        <v>149</v>
      </c>
      <c r="B64" t="s">
        <v>30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2</v>
      </c>
      <c r="AM64">
        <v>3</v>
      </c>
      <c r="AN64">
        <v>4</v>
      </c>
      <c r="AO64">
        <v>7</v>
      </c>
      <c r="AP64">
        <v>10</v>
      </c>
      <c r="AQ64">
        <v>10</v>
      </c>
      <c r="AR64">
        <v>12</v>
      </c>
      <c r="AS64">
        <v>15</v>
      </c>
      <c r="AT64">
        <v>20</v>
      </c>
      <c r="AU64">
        <v>37</v>
      </c>
      <c r="AV64" s="6">
        <v>43</v>
      </c>
      <c r="AW64">
        <v>61</v>
      </c>
      <c r="AX64">
        <v>61</v>
      </c>
      <c r="AY64">
        <v>83</v>
      </c>
      <c r="AZ64">
        <v>109</v>
      </c>
      <c r="BA64">
        <v>131</v>
      </c>
      <c r="BB64" s="6">
        <v>161</v>
      </c>
      <c r="BC64" s="8">
        <f t="shared" si="47"/>
        <v>43</v>
      </c>
      <c r="BD64">
        <f t="shared" si="58"/>
        <v>49.972972972972968</v>
      </c>
      <c r="BE64">
        <f t="shared" si="58"/>
        <v>58.076698319941549</v>
      </c>
      <c r="BF64">
        <f t="shared" si="58"/>
        <v>67.494541290742873</v>
      </c>
      <c r="BG64">
        <f t="shared" si="58"/>
        <v>78.439602040593059</v>
      </c>
      <c r="BH64">
        <f t="shared" si="58"/>
        <v>91.159537506635175</v>
      </c>
      <c r="BI64" s="8">
        <f t="shared" si="58"/>
        <v>105.94216521041385</v>
      </c>
      <c r="BJ64" s="6">
        <f t="shared" si="58"/>
        <v>123.12197578507555</v>
      </c>
      <c r="BK64" s="8">
        <f t="shared" si="49"/>
        <v>43</v>
      </c>
      <c r="BL64" s="9">
        <f t="shared" si="59"/>
        <v>52.9619478376868</v>
      </c>
      <c r="BM64" s="9">
        <f t="shared" si="59"/>
        <v>65.231812064229246</v>
      </c>
      <c r="BN64" s="9">
        <f t="shared" si="59"/>
        <v>80.344275067523213</v>
      </c>
      <c r="BO64" s="9">
        <f t="shared" si="59"/>
        <v>98.957890818207559</v>
      </c>
      <c r="BP64" s="9">
        <f t="shared" si="59"/>
        <v>121.88378259631196</v>
      </c>
      <c r="BQ64" s="9">
        <f t="shared" si="59"/>
        <v>150.12098921222866</v>
      </c>
      <c r="BR64" s="10">
        <f t="shared" si="59"/>
        <v>184.89999999999995</v>
      </c>
    </row>
    <row r="65" spans="1:71" ht="15" customHeight="1">
      <c r="A65">
        <v>7</v>
      </c>
      <c r="B65" t="s">
        <v>15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3</v>
      </c>
      <c r="T65">
        <v>3</v>
      </c>
      <c r="U65">
        <v>3</v>
      </c>
      <c r="V65">
        <v>3</v>
      </c>
      <c r="W65">
        <v>3</v>
      </c>
      <c r="X65">
        <v>3</v>
      </c>
      <c r="Y65">
        <v>3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20</v>
      </c>
      <c r="AH65">
        <v>62</v>
      </c>
      <c r="AI65">
        <v>155</v>
      </c>
      <c r="AJ65">
        <v>229</v>
      </c>
      <c r="AK65">
        <v>322</v>
      </c>
      <c r="AL65">
        <v>453</v>
      </c>
      <c r="AM65">
        <v>655</v>
      </c>
      <c r="AN65">
        <v>888</v>
      </c>
      <c r="AO65">
        <v>1128</v>
      </c>
      <c r="AP65">
        <v>1694</v>
      </c>
      <c r="AQ65">
        <v>2036</v>
      </c>
      <c r="AR65">
        <v>2502</v>
      </c>
      <c r="AS65">
        <v>3089</v>
      </c>
      <c r="AT65">
        <v>3858</v>
      </c>
      <c r="AU65">
        <v>4636</v>
      </c>
      <c r="AV65" s="6">
        <v>5883</v>
      </c>
      <c r="AW65">
        <v>7375</v>
      </c>
      <c r="AX65">
        <v>9172</v>
      </c>
      <c r="AY65">
        <v>10149</v>
      </c>
      <c r="AZ65">
        <v>12462</v>
      </c>
      <c r="BA65">
        <v>12462</v>
      </c>
      <c r="BB65" s="6">
        <v>17660</v>
      </c>
      <c r="BC65" s="8">
        <f t="shared" si="47"/>
        <v>5883</v>
      </c>
      <c r="BD65">
        <f t="shared" si="58"/>
        <v>7465.4204055220016</v>
      </c>
      <c r="BE65">
        <f t="shared" si="58"/>
        <v>9473.4832281462332</v>
      </c>
      <c r="BF65">
        <f t="shared" si="58"/>
        <v>12021.678565829226</v>
      </c>
      <c r="BG65">
        <f t="shared" si="58"/>
        <v>15255.292278423931</v>
      </c>
      <c r="BH65">
        <f t="shared" si="58"/>
        <v>19358.689489639342</v>
      </c>
      <c r="BI65" s="8">
        <f t="shared" si="58"/>
        <v>24565.826200937932</v>
      </c>
      <c r="BJ65" s="6">
        <f t="shared" si="58"/>
        <v>31173.58833911084</v>
      </c>
      <c r="BK65" s="8">
        <f t="shared" si="49"/>
        <v>5883</v>
      </c>
      <c r="BL65" s="9">
        <f>BK65*($AV65/$AO65)^(1/7)</f>
        <v>7448.499835196737</v>
      </c>
      <c r="BM65" s="9">
        <f t="shared" ref="BM65:BR65" si="60">BL65*($AV65/$AO65)^(1/7)</f>
        <v>9430.588100446339</v>
      </c>
      <c r="BN65" s="9">
        <f t="shared" si="60"/>
        <v>11940.1213516884</v>
      </c>
      <c r="BO65" s="9">
        <f t="shared" si="60"/>
        <v>15117.455706319919</v>
      </c>
      <c r="BP65" s="9">
        <f t="shared" si="60"/>
        <v>19140.296844657129</v>
      </c>
      <c r="BQ65" s="9">
        <f t="shared" si="60"/>
        <v>24233.638941534122</v>
      </c>
      <c r="BR65" s="9">
        <f t="shared" si="60"/>
        <v>30682.348404255332</v>
      </c>
      <c r="BS65"/>
    </row>
    <row r="66" spans="1:71" ht="15" hidden="1" customHeight="1">
      <c r="A66" t="s">
        <v>149</v>
      </c>
      <c r="B66" t="s">
        <v>111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 s="6">
        <v>0</v>
      </c>
      <c r="AW66">
        <v>0</v>
      </c>
      <c r="AX66">
        <v>0</v>
      </c>
      <c r="AY66">
        <v>0</v>
      </c>
      <c r="AZ66">
        <v>1</v>
      </c>
      <c r="BA66">
        <v>2</v>
      </c>
      <c r="BB66" s="6">
        <v>8</v>
      </c>
      <c r="BI66"/>
      <c r="BJ66"/>
      <c r="BK66"/>
      <c r="BL66"/>
      <c r="BM66"/>
      <c r="BN66"/>
      <c r="BO66"/>
      <c r="BP66"/>
      <c r="BQ66"/>
      <c r="BR66"/>
      <c r="BS66"/>
    </row>
    <row r="67" spans="1:71" ht="15" customHeight="1">
      <c r="A67">
        <v>7</v>
      </c>
      <c r="B67" t="s">
        <v>2</v>
      </c>
      <c r="C67">
        <v>2</v>
      </c>
      <c r="D67">
        <v>1</v>
      </c>
      <c r="E67">
        <v>2</v>
      </c>
      <c r="F67">
        <v>2</v>
      </c>
      <c r="G67">
        <v>4</v>
      </c>
      <c r="H67">
        <v>4</v>
      </c>
      <c r="I67">
        <v>7</v>
      </c>
      <c r="J67">
        <v>7</v>
      </c>
      <c r="K67">
        <v>11</v>
      </c>
      <c r="L67">
        <v>15</v>
      </c>
      <c r="M67">
        <v>20</v>
      </c>
      <c r="N67">
        <v>20</v>
      </c>
      <c r="O67">
        <v>20</v>
      </c>
      <c r="P67">
        <v>22</v>
      </c>
      <c r="Q67">
        <v>22</v>
      </c>
      <c r="R67">
        <v>45</v>
      </c>
      <c r="S67">
        <v>25</v>
      </c>
      <c r="T67">
        <v>25</v>
      </c>
      <c r="U67">
        <v>26</v>
      </c>
      <c r="V67">
        <v>26</v>
      </c>
      <c r="W67">
        <v>26</v>
      </c>
      <c r="X67">
        <v>28</v>
      </c>
      <c r="Y67">
        <v>28</v>
      </c>
      <c r="Z67">
        <v>29</v>
      </c>
      <c r="AA67">
        <v>43</v>
      </c>
      <c r="AB67">
        <v>59</v>
      </c>
      <c r="AC67">
        <v>66</v>
      </c>
      <c r="AD67">
        <v>74</v>
      </c>
      <c r="AE67">
        <v>84</v>
      </c>
      <c r="AF67">
        <v>94</v>
      </c>
      <c r="AG67">
        <v>105</v>
      </c>
      <c r="AH67">
        <v>122</v>
      </c>
      <c r="AI67">
        <v>147</v>
      </c>
      <c r="AJ67">
        <v>159</v>
      </c>
      <c r="AK67">
        <v>170</v>
      </c>
      <c r="AL67">
        <v>189</v>
      </c>
      <c r="AM67">
        <v>214</v>
      </c>
      <c r="AN67">
        <v>228</v>
      </c>
      <c r="AO67">
        <v>241</v>
      </c>
      <c r="AP67">
        <v>256</v>
      </c>
      <c r="AQ67">
        <v>274</v>
      </c>
      <c r="AR67">
        <v>293</v>
      </c>
      <c r="AS67">
        <v>331</v>
      </c>
      <c r="AT67">
        <v>360</v>
      </c>
      <c r="AU67">
        <v>420</v>
      </c>
      <c r="AV67" s="6">
        <v>461</v>
      </c>
      <c r="AW67">
        <v>502</v>
      </c>
      <c r="AX67">
        <v>511</v>
      </c>
      <c r="AY67">
        <v>581</v>
      </c>
      <c r="AZ67">
        <v>639</v>
      </c>
      <c r="BA67">
        <v>639</v>
      </c>
      <c r="BB67" s="6">
        <v>701</v>
      </c>
      <c r="BC67" s="8">
        <f>AV67</f>
        <v>461</v>
      </c>
      <c r="BD67">
        <f t="shared" ref="BD67:BJ68" si="61">BC67*($AV67/$AU67)</f>
        <v>506.00238095238097</v>
      </c>
      <c r="BE67">
        <f t="shared" si="61"/>
        <v>555.39785147392297</v>
      </c>
      <c r="BF67">
        <f t="shared" si="61"/>
        <v>609.61526078447264</v>
      </c>
      <c r="BG67">
        <f t="shared" si="61"/>
        <v>669.12532195629024</v>
      </c>
      <c r="BH67">
        <f t="shared" si="61"/>
        <v>734.44469862345193</v>
      </c>
      <c r="BI67" s="8">
        <f t="shared" si="61"/>
        <v>806.14049063193181</v>
      </c>
      <c r="BJ67" s="6">
        <f t="shared" si="61"/>
        <v>884.8351575745728</v>
      </c>
      <c r="BK67" s="8">
        <f>AV67</f>
        <v>461</v>
      </c>
      <c r="BL67" s="9">
        <f>BK67*($AV67/$AO67)^(1/7)</f>
        <v>505.75650818803501</v>
      </c>
      <c r="BM67" s="9">
        <f t="shared" ref="BM67:BR67" si="62">BL67*($AV67/$AO67)^(1/7)</f>
        <v>554.85823335044233</v>
      </c>
      <c r="BN67" s="9">
        <f t="shared" si="62"/>
        <v>608.72703392343089</v>
      </c>
      <c r="BO67" s="9">
        <f t="shared" si="62"/>
        <v>667.82572476523637</v>
      </c>
      <c r="BP67" s="9">
        <f t="shared" si="62"/>
        <v>732.66205343906665</v>
      </c>
      <c r="BQ67" s="9">
        <f t="shared" si="62"/>
        <v>803.79306253626442</v>
      </c>
      <c r="BR67" s="9">
        <f t="shared" si="62"/>
        <v>881.82987551867234</v>
      </c>
    </row>
    <row r="68" spans="1:71" ht="15" hidden="1" customHeight="1">
      <c r="A68" t="s">
        <v>149</v>
      </c>
      <c r="B68" t="s">
        <v>64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1</v>
      </c>
      <c r="AS68">
        <v>1</v>
      </c>
      <c r="AT68">
        <v>1</v>
      </c>
      <c r="AU68">
        <v>1</v>
      </c>
      <c r="AV68" s="6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 s="6">
        <v>1</v>
      </c>
      <c r="BC68" s="8">
        <f>AV68</f>
        <v>1</v>
      </c>
      <c r="BD68">
        <f t="shared" si="61"/>
        <v>1</v>
      </c>
      <c r="BE68">
        <f t="shared" si="61"/>
        <v>1</v>
      </c>
      <c r="BF68">
        <f t="shared" si="61"/>
        <v>1</v>
      </c>
      <c r="BG68">
        <f t="shared" si="61"/>
        <v>1</v>
      </c>
      <c r="BH68">
        <f t="shared" si="61"/>
        <v>1</v>
      </c>
      <c r="BI68" s="8">
        <f t="shared" si="61"/>
        <v>1</v>
      </c>
      <c r="BJ68" s="6">
        <f t="shared" si="61"/>
        <v>1</v>
      </c>
      <c r="BK68" s="8">
        <f>AV68</f>
        <v>1</v>
      </c>
      <c r="BL68" s="9" t="e">
        <f t="shared" ref="BL68:BR68" si="63">BK68*($AV68/$AP68)^(1/7)</f>
        <v>#DIV/0!</v>
      </c>
      <c r="BM68" s="9" t="e">
        <f t="shared" si="63"/>
        <v>#DIV/0!</v>
      </c>
      <c r="BN68" s="9" t="e">
        <f t="shared" si="63"/>
        <v>#DIV/0!</v>
      </c>
      <c r="BO68" s="9" t="e">
        <f t="shared" si="63"/>
        <v>#DIV/0!</v>
      </c>
      <c r="BP68" s="9" t="e">
        <f t="shared" si="63"/>
        <v>#DIV/0!</v>
      </c>
      <c r="BQ68" s="9" t="e">
        <f t="shared" si="63"/>
        <v>#DIV/0!</v>
      </c>
      <c r="BR68" s="10" t="e">
        <f t="shared" si="63"/>
        <v>#DIV/0!</v>
      </c>
    </row>
    <row r="69" spans="1:71" ht="15" hidden="1" customHeight="1">
      <c r="A69" t="s">
        <v>149</v>
      </c>
      <c r="B69" t="s">
        <v>131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 s="6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 s="6">
        <v>4</v>
      </c>
      <c r="BI69"/>
      <c r="BJ69"/>
      <c r="BK69"/>
      <c r="BL69"/>
      <c r="BM69"/>
      <c r="BN69"/>
      <c r="BO69"/>
      <c r="BP69"/>
      <c r="BQ69"/>
      <c r="BR69"/>
      <c r="BS69"/>
    </row>
    <row r="70" spans="1:71" ht="15" hidden="1" customHeight="1">
      <c r="A70" t="s">
        <v>149</v>
      </c>
      <c r="B70" t="s">
        <v>138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 s="6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 s="6">
        <v>1</v>
      </c>
      <c r="BI70"/>
      <c r="BJ70"/>
      <c r="BK70"/>
      <c r="BL70"/>
      <c r="BM70"/>
      <c r="BN70"/>
      <c r="BO70"/>
      <c r="BP70"/>
      <c r="BQ70"/>
      <c r="BR70"/>
      <c r="BS70"/>
    </row>
    <row r="71" spans="1:71" ht="15" customHeight="1">
      <c r="A71">
        <v>7</v>
      </c>
      <c r="B71" t="s">
        <v>98</v>
      </c>
      <c r="C71">
        <v>1</v>
      </c>
      <c r="D71">
        <v>1</v>
      </c>
      <c r="E71">
        <v>2</v>
      </c>
      <c r="F71">
        <v>2</v>
      </c>
      <c r="G71">
        <v>3</v>
      </c>
      <c r="H71">
        <v>4</v>
      </c>
      <c r="I71">
        <v>4</v>
      </c>
      <c r="J71">
        <v>4</v>
      </c>
      <c r="K71">
        <v>4</v>
      </c>
      <c r="L71">
        <v>11</v>
      </c>
      <c r="M71">
        <v>12</v>
      </c>
      <c r="N71">
        <v>15</v>
      </c>
      <c r="O71">
        <v>15</v>
      </c>
      <c r="P71">
        <v>16</v>
      </c>
      <c r="Q71">
        <v>19</v>
      </c>
      <c r="R71">
        <v>23</v>
      </c>
      <c r="S71">
        <v>24</v>
      </c>
      <c r="T71">
        <v>24</v>
      </c>
      <c r="U71">
        <v>25</v>
      </c>
      <c r="V71">
        <v>27</v>
      </c>
      <c r="W71">
        <v>28</v>
      </c>
      <c r="X71">
        <v>28</v>
      </c>
      <c r="Y71">
        <v>28</v>
      </c>
      <c r="Z71">
        <v>28</v>
      </c>
      <c r="AA71">
        <v>28</v>
      </c>
      <c r="AB71">
        <v>29</v>
      </c>
      <c r="AC71">
        <v>30</v>
      </c>
      <c r="AD71">
        <v>31</v>
      </c>
      <c r="AE71">
        <v>31</v>
      </c>
      <c r="AF71">
        <v>104</v>
      </c>
      <c r="AG71">
        <v>204</v>
      </c>
      <c r="AH71">
        <v>433</v>
      </c>
      <c r="AI71">
        <v>602</v>
      </c>
      <c r="AJ71">
        <v>833</v>
      </c>
      <c r="AK71">
        <v>977</v>
      </c>
      <c r="AL71">
        <v>1261</v>
      </c>
      <c r="AM71">
        <v>1766</v>
      </c>
      <c r="AN71">
        <v>2337</v>
      </c>
      <c r="AO71">
        <v>3150</v>
      </c>
      <c r="AP71">
        <v>3736</v>
      </c>
      <c r="AQ71">
        <v>4335</v>
      </c>
      <c r="AR71">
        <v>5186</v>
      </c>
      <c r="AS71">
        <v>5621</v>
      </c>
      <c r="AT71">
        <v>6088</v>
      </c>
      <c r="AU71">
        <v>6593</v>
      </c>
      <c r="AV71" s="6">
        <v>7041</v>
      </c>
      <c r="AW71">
        <v>7314</v>
      </c>
      <c r="AX71">
        <v>7478</v>
      </c>
      <c r="AY71">
        <v>7513</v>
      </c>
      <c r="AZ71">
        <v>7755</v>
      </c>
      <c r="BA71">
        <v>7869</v>
      </c>
      <c r="BB71" s="6">
        <v>7979</v>
      </c>
      <c r="BC71" s="8">
        <f t="shared" ref="BC71:BC78" si="64">AV71</f>
        <v>7041</v>
      </c>
      <c r="BD71">
        <f t="shared" ref="BD71:BJ78" si="65">BC71*($AV71/$AU71)</f>
        <v>7519.4419839223419</v>
      </c>
      <c r="BE71">
        <f t="shared" si="65"/>
        <v>8030.3945106624005</v>
      </c>
      <c r="BF71">
        <f t="shared" si="65"/>
        <v>8576.0666994651838</v>
      </c>
      <c r="BG71">
        <f t="shared" si="65"/>
        <v>9158.8177811215464</v>
      </c>
      <c r="BH71">
        <f t="shared" si="65"/>
        <v>9781.1672981763695</v>
      </c>
      <c r="BI71" s="8">
        <f t="shared" si="65"/>
        <v>10445.805998249631</v>
      </c>
      <c r="BJ71" s="6">
        <f t="shared" si="65"/>
        <v>11155.607467567974</v>
      </c>
      <c r="BK71" s="8">
        <f t="shared" ref="BK71:BK78" si="66">AV71</f>
        <v>7041</v>
      </c>
      <c r="BL71" s="9">
        <f>BK71*($AV71/$AO71)^(1/7)</f>
        <v>7898.3748834130756</v>
      </c>
      <c r="BM71" s="9">
        <f t="shared" ref="BM71:BR71" si="67">BL71*($AV71/$AO71)^(1/7)</f>
        <v>8860.1513703920627</v>
      </c>
      <c r="BN71" s="9">
        <f t="shared" si="67"/>
        <v>9939.042330229031</v>
      </c>
      <c r="BO71" s="9">
        <f t="shared" si="67"/>
        <v>11149.308664431237</v>
      </c>
      <c r="BP71" s="9">
        <f t="shared" si="67"/>
        <v>12506.947808913998</v>
      </c>
      <c r="BQ71" s="9">
        <f t="shared" si="67"/>
        <v>14029.905189899802</v>
      </c>
      <c r="BR71" s="9">
        <f t="shared" si="67"/>
        <v>15738.311428571418</v>
      </c>
      <c r="BS71"/>
    </row>
    <row r="72" spans="1:71" ht="15" customHeight="1">
      <c r="A72">
        <v>5</v>
      </c>
      <c r="B72" t="s">
        <v>25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1</v>
      </c>
      <c r="AK72">
        <v>11</v>
      </c>
      <c r="AL72">
        <v>26</v>
      </c>
      <c r="AM72">
        <v>43</v>
      </c>
      <c r="AN72">
        <v>45</v>
      </c>
      <c r="AO72">
        <v>45</v>
      </c>
      <c r="AP72">
        <v>45</v>
      </c>
      <c r="AQ72">
        <v>56</v>
      </c>
      <c r="AR72">
        <v>56</v>
      </c>
      <c r="AS72">
        <v>56</v>
      </c>
      <c r="AT72">
        <v>58</v>
      </c>
      <c r="AU72">
        <v>58</v>
      </c>
      <c r="AV72" s="6">
        <v>61</v>
      </c>
      <c r="AW72">
        <v>64</v>
      </c>
      <c r="AX72">
        <v>64</v>
      </c>
      <c r="AY72">
        <v>69</v>
      </c>
      <c r="AZ72">
        <v>72</v>
      </c>
      <c r="BA72">
        <v>80</v>
      </c>
      <c r="BB72" s="6">
        <v>80</v>
      </c>
      <c r="BC72" s="8">
        <f t="shared" si="64"/>
        <v>61</v>
      </c>
      <c r="BD72">
        <f t="shared" si="65"/>
        <v>64.155172413793096</v>
      </c>
      <c r="BE72">
        <f t="shared" si="65"/>
        <v>67.473543400713424</v>
      </c>
      <c r="BF72">
        <f t="shared" si="65"/>
        <v>70.963554266267565</v>
      </c>
      <c r="BG72">
        <f t="shared" si="65"/>
        <v>74.634082935212433</v>
      </c>
      <c r="BH72">
        <f t="shared" si="65"/>
        <v>78.494466535309627</v>
      </c>
      <c r="BI72" s="8">
        <f t="shared" si="65"/>
        <v>82.554525149204949</v>
      </c>
      <c r="BJ72" s="6">
        <f t="shared" si="65"/>
        <v>86.824586794853474</v>
      </c>
      <c r="BK72" s="8">
        <f t="shared" si="66"/>
        <v>61</v>
      </c>
      <c r="BL72" s="9">
        <f>BK72*($AV72/$AQ72)^(1/5)</f>
        <v>62.052344740701145</v>
      </c>
      <c r="BM72" s="9">
        <f t="shared" ref="BM72:BR72" si="68">BL72*($AV72/$AQ72)^(1/5)</f>
        <v>63.122844062603626</v>
      </c>
      <c r="BN72" s="9">
        <f t="shared" si="68"/>
        <v>64.211811160429519</v>
      </c>
      <c r="BO72" s="9">
        <f t="shared" si="68"/>
        <v>65.319564631996286</v>
      </c>
      <c r="BP72" s="9">
        <f t="shared" si="68"/>
        <v>66.446428571428584</v>
      </c>
      <c r="BQ72" s="9">
        <f t="shared" si="68"/>
        <v>67.59273266397804</v>
      </c>
      <c r="BR72" s="9">
        <f t="shared" si="68"/>
        <v>68.758812282478956</v>
      </c>
    </row>
    <row r="73" spans="1:71" ht="15" hidden="1" customHeight="1">
      <c r="A73" t="s">
        <v>149</v>
      </c>
      <c r="B73" t="s">
        <v>58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1</v>
      </c>
      <c r="AR73">
        <v>1</v>
      </c>
      <c r="AS73">
        <v>1</v>
      </c>
      <c r="AT73">
        <v>1</v>
      </c>
      <c r="AU73">
        <v>1</v>
      </c>
      <c r="AV73" s="6">
        <v>1</v>
      </c>
      <c r="AW73">
        <v>2</v>
      </c>
      <c r="AX73">
        <v>6</v>
      </c>
      <c r="AY73">
        <v>8</v>
      </c>
      <c r="AZ73">
        <v>10</v>
      </c>
      <c r="BA73">
        <v>10</v>
      </c>
      <c r="BB73" s="6">
        <v>17</v>
      </c>
      <c r="BC73" s="8">
        <f t="shared" si="64"/>
        <v>1</v>
      </c>
      <c r="BD73">
        <f t="shared" si="65"/>
        <v>1</v>
      </c>
      <c r="BE73">
        <f t="shared" si="65"/>
        <v>1</v>
      </c>
      <c r="BF73">
        <f t="shared" si="65"/>
        <v>1</v>
      </c>
      <c r="BG73">
        <f t="shared" si="65"/>
        <v>1</v>
      </c>
      <c r="BH73">
        <f t="shared" si="65"/>
        <v>1</v>
      </c>
      <c r="BI73" s="8">
        <f t="shared" si="65"/>
        <v>1</v>
      </c>
      <c r="BJ73" s="6">
        <f t="shared" si="65"/>
        <v>1</v>
      </c>
      <c r="BK73" s="8">
        <f t="shared" si="66"/>
        <v>1</v>
      </c>
      <c r="BL73" s="9" t="e">
        <f t="shared" ref="BL73:BR77" si="69">BK73*($AV73/$AP73)^(1/7)</f>
        <v>#DIV/0!</v>
      </c>
      <c r="BM73" s="9" t="e">
        <f t="shared" si="69"/>
        <v>#DIV/0!</v>
      </c>
      <c r="BN73" s="9" t="e">
        <f t="shared" si="69"/>
        <v>#DIV/0!</v>
      </c>
      <c r="BO73" s="9" t="e">
        <f t="shared" si="69"/>
        <v>#DIV/0!</v>
      </c>
      <c r="BP73" s="9" t="e">
        <f t="shared" si="69"/>
        <v>#DIV/0!</v>
      </c>
      <c r="BQ73" s="9" t="e">
        <f t="shared" si="69"/>
        <v>#DIV/0!</v>
      </c>
      <c r="BR73" s="10" t="e">
        <f t="shared" si="69"/>
        <v>#DIV/0!</v>
      </c>
    </row>
    <row r="74" spans="1:71" ht="15" hidden="1" customHeight="1">
      <c r="A74" t="s">
        <v>149</v>
      </c>
      <c r="B74" t="s">
        <v>20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2</v>
      </c>
      <c r="AM74">
        <v>2</v>
      </c>
      <c r="AN74">
        <v>2</v>
      </c>
      <c r="AO74">
        <v>4</v>
      </c>
      <c r="AP74">
        <v>10</v>
      </c>
      <c r="AQ74">
        <v>13</v>
      </c>
      <c r="AR74">
        <v>13</v>
      </c>
      <c r="AS74">
        <v>13</v>
      </c>
      <c r="AT74">
        <v>16</v>
      </c>
      <c r="AU74">
        <v>22</v>
      </c>
      <c r="AV74" s="6">
        <v>22</v>
      </c>
      <c r="AW74">
        <v>32</v>
      </c>
      <c r="AX74">
        <v>32</v>
      </c>
      <c r="AY74">
        <v>41</v>
      </c>
      <c r="AZ74">
        <v>61</v>
      </c>
      <c r="BA74">
        <v>61</v>
      </c>
      <c r="BB74" s="6">
        <v>77</v>
      </c>
      <c r="BC74" s="8">
        <f t="shared" si="64"/>
        <v>22</v>
      </c>
      <c r="BD74">
        <f t="shared" si="65"/>
        <v>22</v>
      </c>
      <c r="BE74">
        <f t="shared" si="65"/>
        <v>22</v>
      </c>
      <c r="BF74">
        <f t="shared" si="65"/>
        <v>22</v>
      </c>
      <c r="BG74">
        <f t="shared" si="65"/>
        <v>22</v>
      </c>
      <c r="BH74">
        <f t="shared" si="65"/>
        <v>22</v>
      </c>
      <c r="BI74" s="8">
        <f t="shared" si="65"/>
        <v>22</v>
      </c>
      <c r="BJ74" s="6">
        <f t="shared" si="65"/>
        <v>22</v>
      </c>
      <c r="BK74" s="8">
        <f t="shared" si="66"/>
        <v>22</v>
      </c>
      <c r="BL74" s="9">
        <f t="shared" si="69"/>
        <v>24.622956999390198</v>
      </c>
      <c r="BM74" s="9">
        <f t="shared" si="69"/>
        <v>27.558636881537215</v>
      </c>
      <c r="BN74" s="9">
        <f t="shared" si="69"/>
        <v>30.844324131631801</v>
      </c>
      <c r="BO74" s="9">
        <f t="shared" si="69"/>
        <v>34.521748489473779</v>
      </c>
      <c r="BP74" s="9">
        <f t="shared" si="69"/>
        <v>38.637614936367108</v>
      </c>
      <c r="BQ74" s="9">
        <f t="shared" si="69"/>
        <v>43.244196869871075</v>
      </c>
      <c r="BR74" s="10">
        <f t="shared" si="69"/>
        <v>48.399999999999984</v>
      </c>
    </row>
    <row r="75" spans="1:71" ht="15" hidden="1" customHeight="1">
      <c r="A75" t="s">
        <v>149</v>
      </c>
      <c r="B75" t="s">
        <v>67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1</v>
      </c>
      <c r="AT75">
        <v>1</v>
      </c>
      <c r="AU75">
        <v>1</v>
      </c>
      <c r="AV75" s="6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 s="6">
        <v>1</v>
      </c>
      <c r="BC75" s="8">
        <f t="shared" si="64"/>
        <v>1</v>
      </c>
      <c r="BD75">
        <f t="shared" si="65"/>
        <v>1</v>
      </c>
      <c r="BE75">
        <f t="shared" si="65"/>
        <v>1</v>
      </c>
      <c r="BF75">
        <f t="shared" si="65"/>
        <v>1</v>
      </c>
      <c r="BG75">
        <f t="shared" si="65"/>
        <v>1</v>
      </c>
      <c r="BH75">
        <f t="shared" si="65"/>
        <v>1</v>
      </c>
      <c r="BI75" s="8">
        <f t="shared" si="65"/>
        <v>1</v>
      </c>
      <c r="BJ75" s="6">
        <f t="shared" si="65"/>
        <v>1</v>
      </c>
      <c r="BK75" s="8">
        <f t="shared" si="66"/>
        <v>1</v>
      </c>
      <c r="BL75" s="9" t="e">
        <f t="shared" si="69"/>
        <v>#DIV/0!</v>
      </c>
      <c r="BM75" s="9" t="e">
        <f t="shared" si="69"/>
        <v>#DIV/0!</v>
      </c>
      <c r="BN75" s="9" t="e">
        <f t="shared" si="69"/>
        <v>#DIV/0!</v>
      </c>
      <c r="BO75" s="9" t="e">
        <f t="shared" si="69"/>
        <v>#DIV/0!</v>
      </c>
      <c r="BP75" s="9" t="e">
        <f t="shared" si="69"/>
        <v>#DIV/0!</v>
      </c>
      <c r="BQ75" s="9" t="e">
        <f t="shared" si="69"/>
        <v>#DIV/0!</v>
      </c>
      <c r="BR75" s="10" t="e">
        <f t="shared" si="69"/>
        <v>#DIV/0!</v>
      </c>
    </row>
    <row r="76" spans="1:71" ht="15" hidden="1" customHeight="1">
      <c r="A76" t="s">
        <v>149</v>
      </c>
      <c r="B76" t="s">
        <v>43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1</v>
      </c>
      <c r="AO76">
        <v>1</v>
      </c>
      <c r="AP76">
        <v>1</v>
      </c>
      <c r="AQ76">
        <v>1</v>
      </c>
      <c r="AR76">
        <v>1</v>
      </c>
      <c r="AS76">
        <v>1</v>
      </c>
      <c r="AT76">
        <v>1</v>
      </c>
      <c r="AU76">
        <v>1</v>
      </c>
      <c r="AV76" s="6">
        <v>1</v>
      </c>
      <c r="AW76">
        <v>1</v>
      </c>
      <c r="AX76">
        <v>1</v>
      </c>
      <c r="AY76">
        <v>1</v>
      </c>
      <c r="AZ76">
        <v>3</v>
      </c>
      <c r="BA76">
        <v>3</v>
      </c>
      <c r="BB76" s="6">
        <v>6</v>
      </c>
      <c r="BC76" s="8">
        <f t="shared" si="64"/>
        <v>1</v>
      </c>
      <c r="BD76">
        <f t="shared" si="65"/>
        <v>1</v>
      </c>
      <c r="BE76">
        <f t="shared" si="65"/>
        <v>1</v>
      </c>
      <c r="BF76">
        <f t="shared" si="65"/>
        <v>1</v>
      </c>
      <c r="BG76">
        <f t="shared" si="65"/>
        <v>1</v>
      </c>
      <c r="BH76">
        <f t="shared" si="65"/>
        <v>1</v>
      </c>
      <c r="BI76" s="8">
        <f t="shared" si="65"/>
        <v>1</v>
      </c>
      <c r="BJ76" s="6">
        <f t="shared" si="65"/>
        <v>1</v>
      </c>
      <c r="BK76" s="8">
        <f t="shared" si="66"/>
        <v>1</v>
      </c>
      <c r="BL76" s="9">
        <f t="shared" si="69"/>
        <v>1</v>
      </c>
      <c r="BM76" s="9">
        <f t="shared" si="69"/>
        <v>1</v>
      </c>
      <c r="BN76" s="9">
        <f t="shared" si="69"/>
        <v>1</v>
      </c>
      <c r="BO76" s="9">
        <f t="shared" si="69"/>
        <v>1</v>
      </c>
      <c r="BP76" s="9">
        <f t="shared" si="69"/>
        <v>1</v>
      </c>
      <c r="BQ76" s="9">
        <f t="shared" si="69"/>
        <v>1</v>
      </c>
      <c r="BR76" s="10">
        <f t="shared" si="69"/>
        <v>1</v>
      </c>
    </row>
    <row r="77" spans="1:71" ht="15" hidden="1" customHeight="1">
      <c r="A77" t="s">
        <v>149</v>
      </c>
      <c r="B77" t="s">
        <v>48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2</v>
      </c>
      <c r="AV77" s="6">
        <v>2</v>
      </c>
      <c r="AW77">
        <v>3</v>
      </c>
      <c r="AX77">
        <v>3</v>
      </c>
      <c r="AY77">
        <v>5</v>
      </c>
      <c r="AZ77">
        <v>7</v>
      </c>
      <c r="BA77">
        <v>19</v>
      </c>
      <c r="BB77" s="6">
        <v>34</v>
      </c>
      <c r="BC77" s="8">
        <f t="shared" si="64"/>
        <v>2</v>
      </c>
      <c r="BD77">
        <f t="shared" si="65"/>
        <v>2</v>
      </c>
      <c r="BE77">
        <f t="shared" si="65"/>
        <v>2</v>
      </c>
      <c r="BF77">
        <f t="shared" si="65"/>
        <v>2</v>
      </c>
      <c r="BG77">
        <f t="shared" si="65"/>
        <v>2</v>
      </c>
      <c r="BH77">
        <f t="shared" si="65"/>
        <v>2</v>
      </c>
      <c r="BI77" s="8">
        <f t="shared" si="65"/>
        <v>2</v>
      </c>
      <c r="BJ77" s="6">
        <f t="shared" si="65"/>
        <v>2</v>
      </c>
      <c r="BK77" s="8">
        <f t="shared" si="66"/>
        <v>2</v>
      </c>
      <c r="BL77" s="9">
        <f t="shared" si="69"/>
        <v>2.2081790273476245</v>
      </c>
      <c r="BM77" s="9">
        <f t="shared" si="69"/>
        <v>2.4380273084089503</v>
      </c>
      <c r="BN77" s="9">
        <f t="shared" si="69"/>
        <v>2.6918003852647114</v>
      </c>
      <c r="BO77" s="9">
        <f t="shared" si="69"/>
        <v>2.9719885782738955</v>
      </c>
      <c r="BP77" s="9">
        <f t="shared" si="69"/>
        <v>3.2813414240305501</v>
      </c>
      <c r="BQ77" s="9">
        <f t="shared" si="69"/>
        <v>3.6228946570556246</v>
      </c>
      <c r="BR77" s="10">
        <f t="shared" si="69"/>
        <v>3.9999999999999973</v>
      </c>
    </row>
    <row r="78" spans="1:71" ht="15" customHeight="1">
      <c r="A78">
        <v>3</v>
      </c>
      <c r="B78" t="s">
        <v>5</v>
      </c>
      <c r="C78">
        <v>0</v>
      </c>
      <c r="D78">
        <v>0</v>
      </c>
      <c r="E78">
        <v>0</v>
      </c>
      <c r="F78">
        <v>3</v>
      </c>
      <c r="G78">
        <v>4</v>
      </c>
      <c r="H78">
        <v>4</v>
      </c>
      <c r="I78">
        <v>4</v>
      </c>
      <c r="J78">
        <v>7</v>
      </c>
      <c r="K78">
        <v>8</v>
      </c>
      <c r="L78">
        <v>8</v>
      </c>
      <c r="M78">
        <v>8</v>
      </c>
      <c r="N78">
        <v>8</v>
      </c>
      <c r="O78">
        <v>8</v>
      </c>
      <c r="P78">
        <v>10</v>
      </c>
      <c r="Q78">
        <v>12</v>
      </c>
      <c r="R78">
        <v>12</v>
      </c>
      <c r="S78">
        <v>12</v>
      </c>
      <c r="T78">
        <v>16</v>
      </c>
      <c r="U78">
        <v>16</v>
      </c>
      <c r="V78">
        <v>18</v>
      </c>
      <c r="W78">
        <v>18</v>
      </c>
      <c r="X78">
        <v>18</v>
      </c>
      <c r="Y78">
        <v>19</v>
      </c>
      <c r="Z78">
        <v>19</v>
      </c>
      <c r="AA78">
        <v>22</v>
      </c>
      <c r="AB78">
        <v>22</v>
      </c>
      <c r="AC78">
        <v>22</v>
      </c>
      <c r="AD78">
        <v>22</v>
      </c>
      <c r="AE78">
        <v>22</v>
      </c>
      <c r="AF78">
        <v>22</v>
      </c>
      <c r="AG78">
        <v>22</v>
      </c>
      <c r="AH78">
        <v>22</v>
      </c>
      <c r="AI78">
        <v>22</v>
      </c>
      <c r="AJ78">
        <v>22</v>
      </c>
      <c r="AK78">
        <v>22</v>
      </c>
      <c r="AL78">
        <v>22</v>
      </c>
      <c r="AM78">
        <v>23</v>
      </c>
      <c r="AN78">
        <v>23</v>
      </c>
      <c r="AO78">
        <v>25</v>
      </c>
      <c r="AP78">
        <v>29</v>
      </c>
      <c r="AQ78">
        <v>29</v>
      </c>
      <c r="AR78">
        <v>36</v>
      </c>
      <c r="AS78">
        <v>50</v>
      </c>
      <c r="AT78">
        <v>50</v>
      </c>
      <c r="AU78">
        <v>83</v>
      </c>
      <c r="AV78" s="6">
        <v>93</v>
      </c>
      <c r="AW78">
        <v>99</v>
      </c>
      <c r="AX78">
        <v>117</v>
      </c>
      <c r="AY78">
        <v>129</v>
      </c>
      <c r="AZ78">
        <v>149</v>
      </c>
      <c r="BA78">
        <v>149</v>
      </c>
      <c r="BB78" s="6">
        <v>197</v>
      </c>
      <c r="BC78" s="8">
        <f t="shared" si="64"/>
        <v>93</v>
      </c>
      <c r="BD78">
        <f t="shared" si="65"/>
        <v>104.20481927710843</v>
      </c>
      <c r="BE78">
        <f t="shared" si="65"/>
        <v>116.7596167803745</v>
      </c>
      <c r="BF78">
        <f t="shared" si="65"/>
        <v>130.82704048885336</v>
      </c>
      <c r="BG78">
        <f t="shared" si="65"/>
        <v>146.58933452365497</v>
      </c>
      <c r="BH78">
        <f t="shared" si="65"/>
        <v>164.25070012891459</v>
      </c>
      <c r="BI78" s="8">
        <f t="shared" si="65"/>
        <v>184.03994110830189</v>
      </c>
      <c r="BJ78" s="6">
        <f t="shared" si="65"/>
        <v>206.21342798882017</v>
      </c>
      <c r="BK78" s="8">
        <f t="shared" si="66"/>
        <v>93</v>
      </c>
      <c r="BL78" s="9">
        <f>BK78*($AV78/$AS78)^(1/3)</f>
        <v>114.3722320211613</v>
      </c>
      <c r="BM78" s="9">
        <f t="shared" ref="BM78:BR78" si="70">BL78*($AV78/$AS78)^(1/3)</f>
        <v>140.65599416669198</v>
      </c>
      <c r="BN78" s="9">
        <f t="shared" si="70"/>
        <v>172.98000000000008</v>
      </c>
      <c r="BO78" s="9">
        <f t="shared" si="70"/>
        <v>212.7323515593601</v>
      </c>
      <c r="BP78" s="9">
        <f t="shared" si="70"/>
        <v>261.62014915004715</v>
      </c>
      <c r="BQ78" s="9">
        <f t="shared" si="70"/>
        <v>321.74280000000022</v>
      </c>
      <c r="BR78" s="9">
        <f t="shared" si="70"/>
        <v>395.68217390040991</v>
      </c>
    </row>
    <row r="79" spans="1:71" ht="15" hidden="1" customHeight="1">
      <c r="A79" t="s">
        <v>149</v>
      </c>
      <c r="B79" t="s">
        <v>85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 s="6">
        <v>0</v>
      </c>
      <c r="AW79">
        <v>4</v>
      </c>
      <c r="AX79">
        <v>4</v>
      </c>
      <c r="AY79">
        <v>6</v>
      </c>
      <c r="AZ79">
        <v>8</v>
      </c>
      <c r="BA79">
        <v>8</v>
      </c>
      <c r="BB79" s="6">
        <v>9</v>
      </c>
      <c r="BI79"/>
      <c r="BJ79"/>
      <c r="BK79"/>
      <c r="BL79"/>
      <c r="BM79"/>
      <c r="BN79"/>
      <c r="BO79"/>
      <c r="BP79"/>
      <c r="BQ79"/>
      <c r="BR79"/>
      <c r="BS79"/>
    </row>
    <row r="80" spans="1:71" ht="15" hidden="1" customHeight="1">
      <c r="A80" t="s">
        <v>149</v>
      </c>
      <c r="B80" t="s">
        <v>82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 s="6">
        <v>3</v>
      </c>
      <c r="AW80">
        <v>3</v>
      </c>
      <c r="AX80">
        <v>3</v>
      </c>
      <c r="AY80">
        <v>5</v>
      </c>
      <c r="AZ80">
        <v>6</v>
      </c>
      <c r="BA80">
        <v>6</v>
      </c>
      <c r="BB80" s="6">
        <v>12</v>
      </c>
      <c r="BI80"/>
      <c r="BJ80"/>
      <c r="BK80"/>
      <c r="BL80"/>
      <c r="BM80"/>
      <c r="BN80"/>
      <c r="BO80"/>
      <c r="BP80"/>
      <c r="BQ80"/>
      <c r="BR80"/>
      <c r="BS80"/>
    </row>
    <row r="81" spans="1:71" ht="15" hidden="1" customHeight="1">
      <c r="A81" t="s">
        <v>149</v>
      </c>
      <c r="B81" t="s">
        <v>83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 s="6">
        <v>2</v>
      </c>
      <c r="AW81">
        <v>2</v>
      </c>
      <c r="AX81">
        <v>2</v>
      </c>
      <c r="AY81">
        <v>2</v>
      </c>
      <c r="AZ81">
        <v>3</v>
      </c>
      <c r="BA81">
        <v>3</v>
      </c>
      <c r="BB81" s="6">
        <v>3</v>
      </c>
      <c r="BI81"/>
      <c r="BJ81"/>
      <c r="BK81"/>
      <c r="BL81"/>
      <c r="BM81"/>
      <c r="BN81"/>
      <c r="BO81"/>
      <c r="BP81"/>
      <c r="BQ81"/>
      <c r="BR81"/>
      <c r="BS81"/>
    </row>
    <row r="82" spans="1:71" ht="15" hidden="1" customHeight="1">
      <c r="A82" t="s">
        <v>149</v>
      </c>
      <c r="B82" t="s">
        <v>44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1</v>
      </c>
      <c r="AO82">
        <v>4</v>
      </c>
      <c r="AP82">
        <v>5</v>
      </c>
      <c r="AQ82">
        <v>5</v>
      </c>
      <c r="AR82">
        <v>5</v>
      </c>
      <c r="AS82">
        <v>5</v>
      </c>
      <c r="AT82">
        <v>5</v>
      </c>
      <c r="AU82">
        <v>6</v>
      </c>
      <c r="AV82" s="6">
        <v>6</v>
      </c>
      <c r="AW82">
        <v>7</v>
      </c>
      <c r="AX82">
        <v>7</v>
      </c>
      <c r="AY82">
        <v>7</v>
      </c>
      <c r="AZ82">
        <v>8</v>
      </c>
      <c r="BA82">
        <v>12</v>
      </c>
      <c r="BB82" s="6">
        <v>12</v>
      </c>
      <c r="BC82" s="8">
        <f>AV82</f>
        <v>6</v>
      </c>
      <c r="BD82">
        <f t="shared" ref="BD82:BJ82" si="71">BC82*($AV82/$AU82)</f>
        <v>6</v>
      </c>
      <c r="BE82">
        <f t="shared" si="71"/>
        <v>6</v>
      </c>
      <c r="BF82">
        <f t="shared" si="71"/>
        <v>6</v>
      </c>
      <c r="BG82">
        <f t="shared" si="71"/>
        <v>6</v>
      </c>
      <c r="BH82">
        <f t="shared" si="71"/>
        <v>6</v>
      </c>
      <c r="BI82" s="8">
        <f t="shared" si="71"/>
        <v>6</v>
      </c>
      <c r="BJ82" s="6">
        <f t="shared" si="71"/>
        <v>6</v>
      </c>
      <c r="BK82" s="8">
        <f>AV82</f>
        <v>6</v>
      </c>
      <c r="BL82" s="9">
        <f t="shared" ref="BL82:BR82" si="72">BK82*($AV82/$AP82)^(1/7)</f>
        <v>6.1583285775422372</v>
      </c>
      <c r="BM82" s="9">
        <f t="shared" si="72"/>
        <v>6.3208351448288989</v>
      </c>
      <c r="BN82" s="9">
        <f t="shared" si="72"/>
        <v>6.4876299510555224</v>
      </c>
      <c r="BO82" s="9">
        <f t="shared" si="72"/>
        <v>6.6588261546840286</v>
      </c>
      <c r="BP82" s="9">
        <f t="shared" si="72"/>
        <v>6.8345399002127234</v>
      </c>
      <c r="BQ82" s="9">
        <f t="shared" si="72"/>
        <v>7.0148903969721141</v>
      </c>
      <c r="BR82" s="10">
        <f t="shared" si="72"/>
        <v>7.1999999999999966</v>
      </c>
    </row>
    <row r="83" spans="1:71" ht="15" hidden="1" customHeight="1">
      <c r="A83" t="s">
        <v>149</v>
      </c>
      <c r="B83" t="s">
        <v>106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 s="6">
        <v>0</v>
      </c>
      <c r="AW83">
        <v>1</v>
      </c>
      <c r="AX83">
        <v>1</v>
      </c>
      <c r="AY83">
        <v>3</v>
      </c>
      <c r="AZ83">
        <v>3</v>
      </c>
      <c r="BA83">
        <v>3</v>
      </c>
      <c r="BB83" s="6">
        <v>6</v>
      </c>
      <c r="BI83"/>
      <c r="BJ83"/>
      <c r="BK83"/>
      <c r="BL83"/>
      <c r="BM83"/>
      <c r="BN83"/>
      <c r="BO83"/>
      <c r="BP83"/>
      <c r="BQ83"/>
      <c r="BR83"/>
      <c r="BS83"/>
    </row>
    <row r="84" spans="1:71" ht="15" hidden="1" customHeight="1">
      <c r="A84" t="s">
        <v>149</v>
      </c>
      <c r="B84" t="s">
        <v>49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 s="6">
        <v>1</v>
      </c>
      <c r="AW84">
        <v>1</v>
      </c>
      <c r="AX84">
        <v>1</v>
      </c>
      <c r="AY84">
        <v>1</v>
      </c>
      <c r="AZ84">
        <v>1</v>
      </c>
      <c r="BA84">
        <v>2</v>
      </c>
      <c r="BB84" s="6">
        <v>2</v>
      </c>
      <c r="BC84" s="8">
        <f>AV84</f>
        <v>1</v>
      </c>
      <c r="BD84">
        <f t="shared" ref="BD84:BJ84" si="73">BC84*($AV84/$AU84)</f>
        <v>1</v>
      </c>
      <c r="BE84">
        <f t="shared" si="73"/>
        <v>1</v>
      </c>
      <c r="BF84">
        <f t="shared" si="73"/>
        <v>1</v>
      </c>
      <c r="BG84">
        <f t="shared" si="73"/>
        <v>1</v>
      </c>
      <c r="BH84">
        <f t="shared" si="73"/>
        <v>1</v>
      </c>
      <c r="BI84" s="8">
        <f t="shared" si="73"/>
        <v>1</v>
      </c>
      <c r="BJ84" s="6">
        <f t="shared" si="73"/>
        <v>1</v>
      </c>
      <c r="BK84" s="8">
        <f>AV84</f>
        <v>1</v>
      </c>
      <c r="BL84" s="9">
        <f t="shared" ref="BL84:BR84" si="74">BK84*($AV84/$AP84)^(1/7)</f>
        <v>1</v>
      </c>
      <c r="BM84" s="9">
        <f t="shared" si="74"/>
        <v>1</v>
      </c>
      <c r="BN84" s="9">
        <f t="shared" si="74"/>
        <v>1</v>
      </c>
      <c r="BO84" s="9">
        <f t="shared" si="74"/>
        <v>1</v>
      </c>
      <c r="BP84" s="9">
        <f t="shared" si="74"/>
        <v>1</v>
      </c>
      <c r="BQ84" s="9">
        <f t="shared" si="74"/>
        <v>1</v>
      </c>
      <c r="BR84" s="10">
        <f t="shared" si="74"/>
        <v>1</v>
      </c>
    </row>
    <row r="85" spans="1:71" ht="15" hidden="1" customHeight="1">
      <c r="A85" t="s">
        <v>149</v>
      </c>
      <c r="B85" t="s">
        <v>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 s="6">
        <v>0</v>
      </c>
      <c r="AW85">
        <v>0</v>
      </c>
      <c r="AX85">
        <v>0</v>
      </c>
      <c r="AY85">
        <v>1</v>
      </c>
      <c r="AZ85">
        <v>1</v>
      </c>
      <c r="BA85">
        <v>1</v>
      </c>
      <c r="BB85" s="6">
        <v>1</v>
      </c>
      <c r="BI85"/>
      <c r="BJ85"/>
      <c r="BK85"/>
      <c r="BL85"/>
      <c r="BM85"/>
      <c r="BN85"/>
      <c r="BO85"/>
      <c r="BP85"/>
      <c r="BQ85"/>
      <c r="BR85"/>
      <c r="BS85"/>
    </row>
    <row r="86" spans="1:71" ht="15" hidden="1" customHeight="1">
      <c r="A86" t="s">
        <v>149</v>
      </c>
      <c r="B86" t="s">
        <v>59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1</v>
      </c>
      <c r="AR86">
        <v>1</v>
      </c>
      <c r="AS86">
        <v>1</v>
      </c>
      <c r="AT86">
        <v>2</v>
      </c>
      <c r="AU86">
        <v>2</v>
      </c>
      <c r="AV86" s="6">
        <v>2</v>
      </c>
      <c r="AW86">
        <v>2</v>
      </c>
      <c r="AX86">
        <v>2</v>
      </c>
      <c r="AY86">
        <v>3</v>
      </c>
      <c r="AZ86">
        <v>5</v>
      </c>
      <c r="BA86">
        <v>6</v>
      </c>
      <c r="BB86" s="6">
        <v>7</v>
      </c>
      <c r="BC86" s="8">
        <f t="shared" ref="BC86:BC94" si="75">AV86</f>
        <v>2</v>
      </c>
      <c r="BD86">
        <f t="shared" ref="BD86:BJ94" si="76">BC86*($AV86/$AU86)</f>
        <v>2</v>
      </c>
      <c r="BE86">
        <f t="shared" si="76"/>
        <v>2</v>
      </c>
      <c r="BF86">
        <f t="shared" si="76"/>
        <v>2</v>
      </c>
      <c r="BG86">
        <f t="shared" si="76"/>
        <v>2</v>
      </c>
      <c r="BH86">
        <f t="shared" si="76"/>
        <v>2</v>
      </c>
      <c r="BI86" s="8">
        <f t="shared" si="76"/>
        <v>2</v>
      </c>
      <c r="BJ86" s="6">
        <f t="shared" si="76"/>
        <v>2</v>
      </c>
      <c r="BK86" s="8">
        <f t="shared" ref="BK86:BK94" si="77">AV86</f>
        <v>2</v>
      </c>
      <c r="BL86" s="9" t="e">
        <f t="shared" ref="BL86:BR87" si="78">BK86*($AV86/$AP86)^(1/7)</f>
        <v>#DIV/0!</v>
      </c>
      <c r="BM86" s="9" t="e">
        <f t="shared" si="78"/>
        <v>#DIV/0!</v>
      </c>
      <c r="BN86" s="9" t="e">
        <f t="shared" si="78"/>
        <v>#DIV/0!</v>
      </c>
      <c r="BO86" s="9" t="e">
        <f t="shared" si="78"/>
        <v>#DIV/0!</v>
      </c>
      <c r="BP86" s="9" t="e">
        <f t="shared" si="78"/>
        <v>#DIV/0!</v>
      </c>
      <c r="BQ86" s="9" t="e">
        <f t="shared" si="78"/>
        <v>#DIV/0!</v>
      </c>
      <c r="BR86" s="10" t="e">
        <f t="shared" si="78"/>
        <v>#DIV/0!</v>
      </c>
    </row>
    <row r="87" spans="1:71" ht="15" hidden="1" customHeight="1">
      <c r="A87" t="s">
        <v>149</v>
      </c>
      <c r="B87" t="s">
        <v>4</v>
      </c>
      <c r="C87">
        <v>0</v>
      </c>
      <c r="D87">
        <v>0</v>
      </c>
      <c r="E87">
        <v>0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1</v>
      </c>
      <c r="AR87">
        <v>1</v>
      </c>
      <c r="AS87">
        <v>1</v>
      </c>
      <c r="AT87">
        <v>1</v>
      </c>
      <c r="AU87">
        <v>1</v>
      </c>
      <c r="AV87" s="6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 s="6">
        <v>1</v>
      </c>
      <c r="BC87" s="8">
        <f t="shared" si="75"/>
        <v>1</v>
      </c>
      <c r="BD87">
        <f t="shared" si="76"/>
        <v>1</v>
      </c>
      <c r="BE87">
        <f t="shared" si="76"/>
        <v>1</v>
      </c>
      <c r="BF87">
        <f t="shared" si="76"/>
        <v>1</v>
      </c>
      <c r="BG87">
        <f t="shared" si="76"/>
        <v>1</v>
      </c>
      <c r="BH87">
        <f t="shared" si="76"/>
        <v>1</v>
      </c>
      <c r="BI87" s="8">
        <f t="shared" si="76"/>
        <v>1</v>
      </c>
      <c r="BJ87" s="6">
        <f t="shared" si="76"/>
        <v>1</v>
      </c>
      <c r="BK87" s="8">
        <f t="shared" si="77"/>
        <v>1</v>
      </c>
      <c r="BL87" s="9">
        <f t="shared" si="78"/>
        <v>1</v>
      </c>
      <c r="BM87" s="9">
        <f t="shared" si="78"/>
        <v>1</v>
      </c>
      <c r="BN87" s="9">
        <f t="shared" si="78"/>
        <v>1</v>
      </c>
      <c r="BO87" s="9">
        <f t="shared" si="78"/>
        <v>1</v>
      </c>
      <c r="BP87" s="9">
        <f t="shared" si="78"/>
        <v>1</v>
      </c>
      <c r="BQ87" s="9">
        <f t="shared" si="78"/>
        <v>1</v>
      </c>
      <c r="BR87" s="10">
        <f t="shared" si="78"/>
        <v>1</v>
      </c>
    </row>
    <row r="88" spans="1:71">
      <c r="A88">
        <v>2</v>
      </c>
      <c r="B88" t="s">
        <v>39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1</v>
      </c>
      <c r="AN88">
        <v>1</v>
      </c>
      <c r="AO88">
        <v>6</v>
      </c>
      <c r="AP88">
        <v>10</v>
      </c>
      <c r="AQ88">
        <v>18</v>
      </c>
      <c r="AR88">
        <v>24</v>
      </c>
      <c r="AS88">
        <v>38</v>
      </c>
      <c r="AT88">
        <v>82</v>
      </c>
      <c r="AU88">
        <v>128</v>
      </c>
      <c r="AV88" s="6">
        <v>188</v>
      </c>
      <c r="AW88">
        <v>265</v>
      </c>
      <c r="AX88">
        <v>321</v>
      </c>
      <c r="AY88">
        <v>382</v>
      </c>
      <c r="AZ88">
        <v>503</v>
      </c>
      <c r="BA88">
        <v>503</v>
      </c>
      <c r="BB88" s="6">
        <v>804</v>
      </c>
      <c r="BC88" s="8">
        <f t="shared" si="75"/>
        <v>188</v>
      </c>
      <c r="BD88">
        <f t="shared" si="76"/>
        <v>276.125</v>
      </c>
      <c r="BE88">
        <f t="shared" si="76"/>
        <v>405.55859375</v>
      </c>
      <c r="BF88">
        <f t="shared" si="76"/>
        <v>595.6641845703125</v>
      </c>
      <c r="BG88">
        <f t="shared" si="76"/>
        <v>874.88177108764648</v>
      </c>
      <c r="BH88">
        <f t="shared" si="76"/>
        <v>1284.9826012849808</v>
      </c>
      <c r="BI88" s="8">
        <f t="shared" si="76"/>
        <v>1887.3181956373155</v>
      </c>
      <c r="BJ88" s="6">
        <f t="shared" si="76"/>
        <v>2771.9985998423072</v>
      </c>
      <c r="BK88" s="8">
        <f t="shared" si="77"/>
        <v>188</v>
      </c>
      <c r="BL88" s="9">
        <f>BK88*($AV88/$AT88)^(1/2)</f>
        <v>284.66223031138787</v>
      </c>
      <c r="BM88" s="9">
        <f t="shared" ref="BM88:BR88" si="79">BL88*($AV88/$AT88)^(1/2)</f>
        <v>431.02439024390236</v>
      </c>
      <c r="BN88" s="9">
        <f t="shared" si="79"/>
        <v>652.64023534805995</v>
      </c>
      <c r="BO88" s="9">
        <f t="shared" si="79"/>
        <v>988.20226055919068</v>
      </c>
      <c r="BP88" s="9">
        <f t="shared" si="79"/>
        <v>1496.2971249443324</v>
      </c>
      <c r="BQ88" s="9">
        <f t="shared" si="79"/>
        <v>2265.6344510381441</v>
      </c>
      <c r="BR88" s="9">
        <f t="shared" si="79"/>
        <v>3430.5348718235905</v>
      </c>
    </row>
    <row r="89" spans="1:71" ht="15" hidden="1" customHeight="1">
      <c r="A89" t="s">
        <v>149</v>
      </c>
      <c r="B89" t="s">
        <v>45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1</v>
      </c>
      <c r="AO89">
        <v>1</v>
      </c>
      <c r="AP89">
        <v>1</v>
      </c>
      <c r="AQ89">
        <v>1</v>
      </c>
      <c r="AR89">
        <v>1</v>
      </c>
      <c r="AS89">
        <v>3</v>
      </c>
      <c r="AT89">
        <v>3</v>
      </c>
      <c r="AU89">
        <v>4</v>
      </c>
      <c r="AV89" s="6">
        <v>5</v>
      </c>
      <c r="AW89">
        <v>5</v>
      </c>
      <c r="AX89">
        <v>5</v>
      </c>
      <c r="AY89">
        <v>5</v>
      </c>
      <c r="AZ89">
        <v>5</v>
      </c>
      <c r="BA89">
        <v>5</v>
      </c>
      <c r="BB89" s="6">
        <v>5</v>
      </c>
      <c r="BC89" s="8">
        <f t="shared" si="75"/>
        <v>5</v>
      </c>
      <c r="BD89">
        <f t="shared" si="76"/>
        <v>6.25</v>
      </c>
      <c r="BE89">
        <f t="shared" si="76"/>
        <v>7.8125</v>
      </c>
      <c r="BF89">
        <f t="shared" si="76"/>
        <v>9.765625</v>
      </c>
      <c r="BG89">
        <f t="shared" si="76"/>
        <v>12.20703125</v>
      </c>
      <c r="BH89">
        <f t="shared" si="76"/>
        <v>15.2587890625</v>
      </c>
      <c r="BI89" s="8">
        <f t="shared" si="76"/>
        <v>19.073486328125</v>
      </c>
      <c r="BJ89" s="6">
        <f t="shared" si="76"/>
        <v>23.84185791015625</v>
      </c>
      <c r="BK89" s="8">
        <f t="shared" si="77"/>
        <v>5</v>
      </c>
      <c r="BL89" s="9">
        <f t="shared" ref="BL89:BR91" si="80">BK89*($AV89/$AP89)^(1/7)</f>
        <v>6.2924947532091338</v>
      </c>
      <c r="BM89" s="9">
        <f t="shared" si="80"/>
        <v>7.9190980438328955</v>
      </c>
      <c r="BN89" s="9">
        <f t="shared" si="80"/>
        <v>9.9661765781934424</v>
      </c>
      <c r="BO89" s="9">
        <f t="shared" si="80"/>
        <v>12.542422765567599</v>
      </c>
      <c r="BP89" s="9">
        <f t="shared" si="80"/>
        <v>15.784625888972981</v>
      </c>
      <c r="BQ89" s="9">
        <f t="shared" si="80"/>
        <v>19.864935117546306</v>
      </c>
      <c r="BR89" s="10">
        <f t="shared" si="80"/>
        <v>25</v>
      </c>
    </row>
    <row r="90" spans="1:71" ht="15" hidden="1" customHeight="1">
      <c r="A90" t="s">
        <v>149</v>
      </c>
      <c r="B90" t="s">
        <v>46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1</v>
      </c>
      <c r="AO90">
        <v>1</v>
      </c>
      <c r="AP90">
        <v>1</v>
      </c>
      <c r="AQ90">
        <v>1</v>
      </c>
      <c r="AR90">
        <v>1</v>
      </c>
      <c r="AS90">
        <v>1</v>
      </c>
      <c r="AT90">
        <v>1</v>
      </c>
      <c r="AU90">
        <v>1</v>
      </c>
      <c r="AV90" s="6">
        <v>1</v>
      </c>
      <c r="AW90">
        <v>1</v>
      </c>
      <c r="AX90">
        <v>2</v>
      </c>
      <c r="AY90">
        <v>2</v>
      </c>
      <c r="AZ90">
        <v>2</v>
      </c>
      <c r="BA90">
        <v>2</v>
      </c>
      <c r="BB90" s="6">
        <v>2</v>
      </c>
      <c r="BC90" s="8">
        <f t="shared" si="75"/>
        <v>1</v>
      </c>
      <c r="BD90">
        <f t="shared" si="76"/>
        <v>1</v>
      </c>
      <c r="BE90">
        <f t="shared" si="76"/>
        <v>1</v>
      </c>
      <c r="BF90">
        <f t="shared" si="76"/>
        <v>1</v>
      </c>
      <c r="BG90">
        <f t="shared" si="76"/>
        <v>1</v>
      </c>
      <c r="BH90">
        <f t="shared" si="76"/>
        <v>1</v>
      </c>
      <c r="BI90" s="8">
        <f t="shared" si="76"/>
        <v>1</v>
      </c>
      <c r="BJ90" s="6">
        <f t="shared" si="76"/>
        <v>1</v>
      </c>
      <c r="BK90" s="8">
        <f t="shared" si="77"/>
        <v>1</v>
      </c>
      <c r="BL90" s="9">
        <f t="shared" si="80"/>
        <v>1</v>
      </c>
      <c r="BM90" s="9">
        <f t="shared" si="80"/>
        <v>1</v>
      </c>
      <c r="BN90" s="9">
        <f t="shared" si="80"/>
        <v>1</v>
      </c>
      <c r="BO90" s="9">
        <f t="shared" si="80"/>
        <v>1</v>
      </c>
      <c r="BP90" s="9">
        <f t="shared" si="80"/>
        <v>1</v>
      </c>
      <c r="BQ90" s="9">
        <f t="shared" si="80"/>
        <v>1</v>
      </c>
      <c r="BR90" s="10">
        <f t="shared" si="80"/>
        <v>1</v>
      </c>
    </row>
    <row r="91" spans="1:71" ht="15" hidden="1" customHeight="1">
      <c r="A91" t="s">
        <v>149</v>
      </c>
      <c r="B91" t="s">
        <v>35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1</v>
      </c>
      <c r="AM91">
        <v>1</v>
      </c>
      <c r="AN91">
        <v>1</v>
      </c>
      <c r="AO91">
        <v>1</v>
      </c>
      <c r="AP91">
        <v>1</v>
      </c>
      <c r="AQ91">
        <v>1</v>
      </c>
      <c r="AR91">
        <v>1</v>
      </c>
      <c r="AS91">
        <v>1</v>
      </c>
      <c r="AT91">
        <v>1</v>
      </c>
      <c r="AU91">
        <v>3</v>
      </c>
      <c r="AV91" s="6">
        <v>3</v>
      </c>
      <c r="AW91">
        <v>3</v>
      </c>
      <c r="AX91">
        <v>3</v>
      </c>
      <c r="AY91">
        <v>7</v>
      </c>
      <c r="AZ91">
        <v>7</v>
      </c>
      <c r="BA91">
        <v>7</v>
      </c>
      <c r="BB91" s="6">
        <v>14</v>
      </c>
      <c r="BC91" s="8">
        <f t="shared" si="75"/>
        <v>3</v>
      </c>
      <c r="BD91">
        <f t="shared" si="76"/>
        <v>3</v>
      </c>
      <c r="BE91">
        <f t="shared" si="76"/>
        <v>3</v>
      </c>
      <c r="BF91">
        <f t="shared" si="76"/>
        <v>3</v>
      </c>
      <c r="BG91">
        <f t="shared" si="76"/>
        <v>3</v>
      </c>
      <c r="BH91">
        <f t="shared" si="76"/>
        <v>3</v>
      </c>
      <c r="BI91" s="8">
        <f t="shared" si="76"/>
        <v>3</v>
      </c>
      <c r="BJ91" s="6">
        <f t="shared" si="76"/>
        <v>3</v>
      </c>
      <c r="BK91" s="8">
        <f t="shared" si="77"/>
        <v>3</v>
      </c>
      <c r="BL91" s="9">
        <f t="shared" si="80"/>
        <v>3.5097924382760608</v>
      </c>
      <c r="BM91" s="9">
        <f t="shared" si="80"/>
        <v>4.1062143199266057</v>
      </c>
      <c r="BN91" s="9">
        <f t="shared" si="80"/>
        <v>4.8039866566730929</v>
      </c>
      <c r="BO91" s="9">
        <f t="shared" si="80"/>
        <v>5.6203320137234387</v>
      </c>
      <c r="BP91" s="9">
        <f t="shared" si="80"/>
        <v>6.5753996007891304</v>
      </c>
      <c r="BQ91" s="9">
        <f t="shared" si="80"/>
        <v>7.6927625991643733</v>
      </c>
      <c r="BR91" s="10">
        <f t="shared" si="80"/>
        <v>9.0000000000000036</v>
      </c>
    </row>
    <row r="92" spans="1:71">
      <c r="A92">
        <v>3</v>
      </c>
      <c r="B92" t="s">
        <v>36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1</v>
      </c>
      <c r="AM92">
        <v>1</v>
      </c>
      <c r="AN92">
        <v>6</v>
      </c>
      <c r="AO92">
        <v>15</v>
      </c>
      <c r="AP92">
        <v>19</v>
      </c>
      <c r="AQ92">
        <v>25</v>
      </c>
      <c r="AR92">
        <v>32</v>
      </c>
      <c r="AS92">
        <v>56</v>
      </c>
      <c r="AT92">
        <v>87</v>
      </c>
      <c r="AU92">
        <v>108</v>
      </c>
      <c r="AV92" s="6">
        <v>147</v>
      </c>
      <c r="AW92">
        <v>176</v>
      </c>
      <c r="AX92">
        <v>205</v>
      </c>
      <c r="AY92">
        <v>400</v>
      </c>
      <c r="AZ92">
        <v>598</v>
      </c>
      <c r="BA92">
        <v>702</v>
      </c>
      <c r="BB92" s="6">
        <v>996</v>
      </c>
      <c r="BC92" s="8">
        <f t="shared" si="75"/>
        <v>147</v>
      </c>
      <c r="BD92">
        <f t="shared" si="76"/>
        <v>200.08333333333334</v>
      </c>
      <c r="BE92">
        <f t="shared" si="76"/>
        <v>272.33564814814815</v>
      </c>
      <c r="BF92">
        <f t="shared" si="76"/>
        <v>370.67907664609055</v>
      </c>
      <c r="BG92">
        <f t="shared" si="76"/>
        <v>504.53540987940107</v>
      </c>
      <c r="BH92">
        <f t="shared" si="76"/>
        <v>686.72875233585148</v>
      </c>
      <c r="BI92" s="8">
        <f t="shared" si="76"/>
        <v>934.71413512379786</v>
      </c>
      <c r="BJ92" s="6">
        <f t="shared" si="76"/>
        <v>1272.2497950296138</v>
      </c>
      <c r="BK92" s="8">
        <f t="shared" si="77"/>
        <v>147</v>
      </c>
      <c r="BL92" s="9">
        <f>BK92*($AV92/$AS92)^(1/3)</f>
        <v>202.78092696401237</v>
      </c>
      <c r="BM92" s="9">
        <f t="shared" ref="BM92:BR92" si="81">BL92*($AV92/$AS92)^(1/3)</f>
        <v>279.72860095499402</v>
      </c>
      <c r="BN92" s="9">
        <f t="shared" si="81"/>
        <v>385.87500000000006</v>
      </c>
      <c r="BO92" s="9">
        <f t="shared" si="81"/>
        <v>532.29993328053251</v>
      </c>
      <c r="BP92" s="9">
        <f t="shared" si="81"/>
        <v>734.28757750685929</v>
      </c>
      <c r="BQ92" s="9">
        <f t="shared" si="81"/>
        <v>1012.9218750000001</v>
      </c>
      <c r="BR92" s="9">
        <f t="shared" si="81"/>
        <v>1397.287324861398</v>
      </c>
    </row>
    <row r="93" spans="1:71" ht="15" hidden="1" customHeight="1">
      <c r="A93" t="s">
        <v>149</v>
      </c>
      <c r="B93" t="s">
        <v>22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2</v>
      </c>
      <c r="AK93">
        <v>2</v>
      </c>
      <c r="AL93">
        <v>4</v>
      </c>
      <c r="AM93">
        <v>4</v>
      </c>
      <c r="AN93">
        <v>4</v>
      </c>
      <c r="AO93">
        <v>6</v>
      </c>
      <c r="AP93">
        <v>6</v>
      </c>
      <c r="AQ93">
        <v>6</v>
      </c>
      <c r="AR93">
        <v>12</v>
      </c>
      <c r="AS93">
        <v>15</v>
      </c>
      <c r="AT93">
        <v>16</v>
      </c>
      <c r="AU93">
        <v>16</v>
      </c>
      <c r="AV93" s="6">
        <v>16</v>
      </c>
      <c r="AW93">
        <v>16</v>
      </c>
      <c r="AX93">
        <v>16</v>
      </c>
      <c r="AY93">
        <v>18</v>
      </c>
      <c r="AZ93">
        <v>18</v>
      </c>
      <c r="BA93">
        <v>18</v>
      </c>
      <c r="BB93" s="6">
        <v>19</v>
      </c>
      <c r="BC93" s="8">
        <f t="shared" si="75"/>
        <v>16</v>
      </c>
      <c r="BD93">
        <f t="shared" si="76"/>
        <v>16</v>
      </c>
      <c r="BE93">
        <f t="shared" si="76"/>
        <v>16</v>
      </c>
      <c r="BF93">
        <f t="shared" si="76"/>
        <v>16</v>
      </c>
      <c r="BG93">
        <f t="shared" si="76"/>
        <v>16</v>
      </c>
      <c r="BH93">
        <f t="shared" si="76"/>
        <v>16</v>
      </c>
      <c r="BI93" s="8">
        <f t="shared" si="76"/>
        <v>16</v>
      </c>
      <c r="BJ93" s="6">
        <f t="shared" si="76"/>
        <v>16</v>
      </c>
      <c r="BK93" s="8">
        <f t="shared" si="77"/>
        <v>16</v>
      </c>
      <c r="BL93" s="9">
        <f t="shared" ref="BL93:BR94" si="82">BK93*($AV93/$AP93)^(1/7)</f>
        <v>18.406561180604996</v>
      </c>
      <c r="BM93" s="9">
        <f t="shared" si="82"/>
        <v>21.175093405959675</v>
      </c>
      <c r="BN93" s="9">
        <f t="shared" si="82"/>
        <v>24.360040767613885</v>
      </c>
      <c r="BO93" s="9">
        <f t="shared" si="82"/>
        <v>28.024036296944804</v>
      </c>
      <c r="BP93" s="9">
        <f t="shared" si="82"/>
        <v>32.239133664200601</v>
      </c>
      <c r="BQ93" s="9">
        <f t="shared" si="82"/>
        <v>37.088224137488154</v>
      </c>
      <c r="BR93" s="10">
        <f t="shared" si="82"/>
        <v>42.666666666666664</v>
      </c>
    </row>
    <row r="94" spans="1:71" ht="15" hidden="1" customHeight="1">
      <c r="A94" t="s">
        <v>149</v>
      </c>
      <c r="B94" t="s">
        <v>31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2</v>
      </c>
      <c r="AM94">
        <v>2</v>
      </c>
      <c r="AN94">
        <v>2</v>
      </c>
      <c r="AO94">
        <v>4</v>
      </c>
      <c r="AP94">
        <v>4</v>
      </c>
      <c r="AQ94">
        <v>4</v>
      </c>
      <c r="AR94">
        <v>5</v>
      </c>
      <c r="AS94">
        <v>5</v>
      </c>
      <c r="AT94">
        <v>5</v>
      </c>
      <c r="AU94">
        <v>6</v>
      </c>
      <c r="AV94" s="6">
        <v>6</v>
      </c>
      <c r="AW94">
        <v>6</v>
      </c>
      <c r="AX94">
        <v>6</v>
      </c>
      <c r="AY94">
        <v>16</v>
      </c>
      <c r="AZ94">
        <v>19</v>
      </c>
      <c r="BA94">
        <v>20</v>
      </c>
      <c r="BB94" s="6">
        <v>28</v>
      </c>
      <c r="BC94" s="8">
        <f t="shared" si="75"/>
        <v>6</v>
      </c>
      <c r="BD94">
        <f t="shared" si="76"/>
        <v>6</v>
      </c>
      <c r="BE94">
        <f t="shared" si="76"/>
        <v>6</v>
      </c>
      <c r="BF94">
        <f t="shared" si="76"/>
        <v>6</v>
      </c>
      <c r="BG94">
        <f t="shared" si="76"/>
        <v>6</v>
      </c>
      <c r="BH94">
        <f t="shared" si="76"/>
        <v>6</v>
      </c>
      <c r="BI94" s="8">
        <f t="shared" si="76"/>
        <v>6</v>
      </c>
      <c r="BJ94" s="6">
        <f t="shared" si="76"/>
        <v>6</v>
      </c>
      <c r="BK94" s="8">
        <f t="shared" si="77"/>
        <v>6</v>
      </c>
      <c r="BL94" s="9">
        <f t="shared" si="82"/>
        <v>6.3578041360022901</v>
      </c>
      <c r="BM94" s="9">
        <f t="shared" si="82"/>
        <v>6.7369455719613045</v>
      </c>
      <c r="BN94" s="9">
        <f t="shared" si="82"/>
        <v>7.1386967369063168</v>
      </c>
      <c r="BO94" s="9">
        <f t="shared" si="82"/>
        <v>7.5644059399281725</v>
      </c>
      <c r="BP94" s="9">
        <f t="shared" si="82"/>
        <v>8.0155018952126049</v>
      </c>
      <c r="BQ94" s="9">
        <f t="shared" si="82"/>
        <v>8.4934985169194839</v>
      </c>
      <c r="BR94" s="10">
        <f t="shared" si="82"/>
        <v>9.0000000000000018</v>
      </c>
    </row>
    <row r="95" spans="1:71" ht="15" hidden="1" customHeight="1">
      <c r="A95" t="s">
        <v>149</v>
      </c>
      <c r="B95" t="s">
        <v>96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 s="6">
        <v>0</v>
      </c>
      <c r="AW95">
        <v>0</v>
      </c>
      <c r="AX95">
        <v>0</v>
      </c>
      <c r="AY95">
        <v>1</v>
      </c>
      <c r="AZ95">
        <v>8</v>
      </c>
      <c r="BA95">
        <v>11</v>
      </c>
      <c r="BB95" s="6">
        <v>27</v>
      </c>
      <c r="BI95"/>
      <c r="BJ95"/>
      <c r="BK95"/>
      <c r="BL95"/>
      <c r="BM95"/>
      <c r="BN95"/>
      <c r="BO95"/>
      <c r="BP95"/>
      <c r="BQ95"/>
      <c r="BR95"/>
      <c r="BS95"/>
    </row>
    <row r="96" spans="1:71" ht="15" hidden="1" customHeight="1">
      <c r="A96" t="s">
        <v>149</v>
      </c>
      <c r="B96" t="s">
        <v>87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 s="6">
        <v>0</v>
      </c>
      <c r="AW96">
        <v>1</v>
      </c>
      <c r="AX96">
        <v>1</v>
      </c>
      <c r="AY96">
        <v>1</v>
      </c>
      <c r="AZ96">
        <v>5</v>
      </c>
      <c r="BA96">
        <v>5</v>
      </c>
      <c r="BB96" s="6">
        <v>6</v>
      </c>
      <c r="BI96"/>
      <c r="BJ96"/>
      <c r="BK96"/>
      <c r="BL96"/>
      <c r="BM96"/>
      <c r="BN96"/>
      <c r="BO96"/>
      <c r="BP96"/>
      <c r="BQ96"/>
      <c r="BR96"/>
      <c r="BS96"/>
    </row>
    <row r="97" spans="1:71" ht="15" hidden="1" customHeight="1">
      <c r="A97" t="s">
        <v>149</v>
      </c>
      <c r="B97" t="s">
        <v>77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1</v>
      </c>
      <c r="AV97" s="6">
        <v>1</v>
      </c>
      <c r="AW97">
        <v>6</v>
      </c>
      <c r="AX97">
        <v>7</v>
      </c>
      <c r="AY97">
        <v>11</v>
      </c>
      <c r="AZ97">
        <v>11</v>
      </c>
      <c r="BA97">
        <v>15</v>
      </c>
      <c r="BB97" s="6">
        <v>28</v>
      </c>
      <c r="BC97" s="8">
        <f>AV97</f>
        <v>1</v>
      </c>
      <c r="BD97">
        <f t="shared" ref="BD97:BJ101" si="83">BC97*($AV97/$AU97)</f>
        <v>1</v>
      </c>
      <c r="BE97">
        <f t="shared" si="83"/>
        <v>1</v>
      </c>
      <c r="BF97">
        <f t="shared" si="83"/>
        <v>1</v>
      </c>
      <c r="BG97">
        <f t="shared" si="83"/>
        <v>1</v>
      </c>
      <c r="BH97">
        <f t="shared" si="83"/>
        <v>1</v>
      </c>
      <c r="BI97" s="8">
        <f t="shared" si="83"/>
        <v>1</v>
      </c>
      <c r="BJ97" s="6">
        <f t="shared" si="83"/>
        <v>1</v>
      </c>
      <c r="BK97" s="8">
        <f>AV97</f>
        <v>1</v>
      </c>
      <c r="BL97" s="9" t="e">
        <f t="shared" ref="BL97:BR101" si="84">BK97*($AV97/$AP97)^(1/7)</f>
        <v>#DIV/0!</v>
      </c>
      <c r="BM97" s="9" t="e">
        <f t="shared" si="84"/>
        <v>#DIV/0!</v>
      </c>
      <c r="BN97" s="9" t="e">
        <f t="shared" si="84"/>
        <v>#DIV/0!</v>
      </c>
      <c r="BO97" s="9" t="e">
        <f t="shared" si="84"/>
        <v>#DIV/0!</v>
      </c>
      <c r="BP97" s="9" t="e">
        <f t="shared" si="84"/>
        <v>#DIV/0!</v>
      </c>
      <c r="BQ97" s="9" t="e">
        <f t="shared" si="84"/>
        <v>#DIV/0!</v>
      </c>
      <c r="BR97" s="10" t="e">
        <f t="shared" si="84"/>
        <v>#DIV/0!</v>
      </c>
    </row>
    <row r="98" spans="1:71" ht="15" hidden="1" customHeight="1">
      <c r="A98" t="s">
        <v>149</v>
      </c>
      <c r="B98" t="s">
        <v>13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>
        <v>1</v>
      </c>
      <c r="M98">
        <v>1</v>
      </c>
      <c r="N98">
        <v>2</v>
      </c>
      <c r="O98">
        <v>2</v>
      </c>
      <c r="P98">
        <v>2</v>
      </c>
      <c r="Q98">
        <v>2</v>
      </c>
      <c r="R98">
        <v>2</v>
      </c>
      <c r="S98">
        <v>3</v>
      </c>
      <c r="T98">
        <v>3</v>
      </c>
      <c r="U98">
        <v>3</v>
      </c>
      <c r="V98">
        <v>3</v>
      </c>
      <c r="W98">
        <v>3</v>
      </c>
      <c r="X98">
        <v>3</v>
      </c>
      <c r="Y98">
        <v>3</v>
      </c>
      <c r="Z98">
        <v>3</v>
      </c>
      <c r="AA98">
        <v>3</v>
      </c>
      <c r="AB98">
        <v>3</v>
      </c>
      <c r="AC98">
        <v>3</v>
      </c>
      <c r="AD98">
        <v>3</v>
      </c>
      <c r="AE98">
        <v>3</v>
      </c>
      <c r="AF98">
        <v>3</v>
      </c>
      <c r="AG98">
        <v>3</v>
      </c>
      <c r="AH98">
        <v>3</v>
      </c>
      <c r="AI98">
        <v>3</v>
      </c>
      <c r="AJ98">
        <v>3</v>
      </c>
      <c r="AK98">
        <v>3</v>
      </c>
      <c r="AL98">
        <v>3</v>
      </c>
      <c r="AM98">
        <v>3</v>
      </c>
      <c r="AN98">
        <v>3</v>
      </c>
      <c r="AO98">
        <v>3</v>
      </c>
      <c r="AP98">
        <v>3</v>
      </c>
      <c r="AQ98">
        <v>3</v>
      </c>
      <c r="AR98">
        <v>3</v>
      </c>
      <c r="AS98">
        <v>3</v>
      </c>
      <c r="AT98">
        <v>3</v>
      </c>
      <c r="AU98">
        <v>5</v>
      </c>
      <c r="AV98" s="6">
        <v>6</v>
      </c>
      <c r="AW98">
        <v>10</v>
      </c>
      <c r="AX98">
        <v>20</v>
      </c>
      <c r="AY98">
        <v>33</v>
      </c>
      <c r="AZ98">
        <v>49</v>
      </c>
      <c r="BA98">
        <v>52</v>
      </c>
      <c r="BB98" s="6">
        <v>64</v>
      </c>
      <c r="BC98" s="8">
        <f>AV98</f>
        <v>6</v>
      </c>
      <c r="BD98">
        <f t="shared" si="83"/>
        <v>7.1999999999999993</v>
      </c>
      <c r="BE98">
        <f t="shared" si="83"/>
        <v>8.6399999999999988</v>
      </c>
      <c r="BF98">
        <f t="shared" si="83"/>
        <v>10.367999999999999</v>
      </c>
      <c r="BG98">
        <f t="shared" si="83"/>
        <v>12.441599999999998</v>
      </c>
      <c r="BH98">
        <f t="shared" si="83"/>
        <v>14.929919999999996</v>
      </c>
      <c r="BI98" s="8">
        <f t="shared" si="83"/>
        <v>17.915903999999994</v>
      </c>
      <c r="BJ98" s="6">
        <f t="shared" si="83"/>
        <v>21.499084799999991</v>
      </c>
      <c r="BK98" s="8">
        <f>AV98</f>
        <v>6</v>
      </c>
      <c r="BL98" s="9">
        <f t="shared" si="84"/>
        <v>6.6245370820428739</v>
      </c>
      <c r="BM98" s="9">
        <f t="shared" si="84"/>
        <v>7.3140819252268523</v>
      </c>
      <c r="BN98" s="9">
        <f t="shared" si="84"/>
        <v>8.0754011557941361</v>
      </c>
      <c r="BO98" s="9">
        <f t="shared" si="84"/>
        <v>8.9159657348216896</v>
      </c>
      <c r="BP98" s="9">
        <f t="shared" si="84"/>
        <v>9.8440242720916533</v>
      </c>
      <c r="BQ98" s="9">
        <f t="shared" si="84"/>
        <v>10.868683971166877</v>
      </c>
      <c r="BR98" s="10">
        <f t="shared" si="84"/>
        <v>11.999999999999996</v>
      </c>
    </row>
    <row r="99" spans="1:71" ht="15" hidden="1" customHeight="1">
      <c r="A99" t="s">
        <v>149</v>
      </c>
      <c r="B99" t="s">
        <v>68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1</v>
      </c>
      <c r="AT99">
        <v>1</v>
      </c>
      <c r="AU99">
        <v>5</v>
      </c>
      <c r="AV99" s="6">
        <v>5</v>
      </c>
      <c r="AW99">
        <v>11</v>
      </c>
      <c r="AX99">
        <v>16</v>
      </c>
      <c r="AY99">
        <v>22</v>
      </c>
      <c r="AZ99">
        <v>31</v>
      </c>
      <c r="BA99">
        <v>49</v>
      </c>
      <c r="BB99" s="6">
        <v>68</v>
      </c>
      <c r="BC99" s="8">
        <f>AV99</f>
        <v>5</v>
      </c>
      <c r="BD99">
        <f t="shared" si="83"/>
        <v>5</v>
      </c>
      <c r="BE99">
        <f t="shared" si="83"/>
        <v>5</v>
      </c>
      <c r="BF99">
        <f t="shared" si="83"/>
        <v>5</v>
      </c>
      <c r="BG99">
        <f t="shared" si="83"/>
        <v>5</v>
      </c>
      <c r="BH99">
        <f t="shared" si="83"/>
        <v>5</v>
      </c>
      <c r="BI99" s="8">
        <f t="shared" si="83"/>
        <v>5</v>
      </c>
      <c r="BJ99" s="6">
        <f t="shared" si="83"/>
        <v>5</v>
      </c>
      <c r="BK99" s="8">
        <f>AV99</f>
        <v>5</v>
      </c>
      <c r="BL99" s="9" t="e">
        <f t="shared" si="84"/>
        <v>#DIV/0!</v>
      </c>
      <c r="BM99" s="9" t="e">
        <f t="shared" si="84"/>
        <v>#DIV/0!</v>
      </c>
      <c r="BN99" s="9" t="e">
        <f t="shared" si="84"/>
        <v>#DIV/0!</v>
      </c>
      <c r="BO99" s="9" t="e">
        <f t="shared" si="84"/>
        <v>#DIV/0!</v>
      </c>
      <c r="BP99" s="9" t="e">
        <f t="shared" si="84"/>
        <v>#DIV/0!</v>
      </c>
      <c r="BQ99" s="9" t="e">
        <f t="shared" si="84"/>
        <v>#DIV/0!</v>
      </c>
      <c r="BR99" s="10" t="e">
        <f t="shared" si="84"/>
        <v>#DIV/0!</v>
      </c>
    </row>
    <row r="100" spans="1:71" ht="15" hidden="1" customHeight="1">
      <c r="A100" t="s">
        <v>149</v>
      </c>
      <c r="B100" t="s">
        <v>56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2</v>
      </c>
      <c r="AR100">
        <v>2</v>
      </c>
      <c r="AS100">
        <v>5</v>
      </c>
      <c r="AT100">
        <v>8</v>
      </c>
      <c r="AU100">
        <v>13</v>
      </c>
      <c r="AV100" s="6">
        <v>20</v>
      </c>
      <c r="AW100">
        <v>30</v>
      </c>
      <c r="AX100">
        <v>30</v>
      </c>
      <c r="AY100">
        <v>41</v>
      </c>
      <c r="AZ100">
        <v>59</v>
      </c>
      <c r="BA100">
        <v>59</v>
      </c>
      <c r="BB100" s="6">
        <v>112</v>
      </c>
      <c r="BC100" s="8">
        <f>AV100</f>
        <v>20</v>
      </c>
      <c r="BD100">
        <f t="shared" si="83"/>
        <v>30.76923076923077</v>
      </c>
      <c r="BE100">
        <f t="shared" si="83"/>
        <v>47.337278106508883</v>
      </c>
      <c r="BF100">
        <f t="shared" si="83"/>
        <v>72.826581702321363</v>
      </c>
      <c r="BG100">
        <f t="shared" si="83"/>
        <v>112.04089492664826</v>
      </c>
      <c r="BH100">
        <f t="shared" si="83"/>
        <v>172.37060757945886</v>
      </c>
      <c r="BI100" s="8">
        <f t="shared" si="83"/>
        <v>265.18555012224442</v>
      </c>
      <c r="BJ100" s="6">
        <f t="shared" si="83"/>
        <v>407.97776941883757</v>
      </c>
      <c r="BK100" s="8">
        <f>AV100</f>
        <v>20</v>
      </c>
      <c r="BL100" s="9" t="e">
        <f t="shared" si="84"/>
        <v>#DIV/0!</v>
      </c>
      <c r="BM100" s="9" t="e">
        <f t="shared" si="84"/>
        <v>#DIV/0!</v>
      </c>
      <c r="BN100" s="9" t="e">
        <f t="shared" si="84"/>
        <v>#DIV/0!</v>
      </c>
      <c r="BO100" s="9" t="e">
        <f t="shared" si="84"/>
        <v>#DIV/0!</v>
      </c>
      <c r="BP100" s="9" t="e">
        <f t="shared" si="84"/>
        <v>#DIV/0!</v>
      </c>
      <c r="BQ100" s="9" t="e">
        <f t="shared" si="84"/>
        <v>#DIV/0!</v>
      </c>
      <c r="BR100" s="10" t="e">
        <f t="shared" si="84"/>
        <v>#DIV/0!</v>
      </c>
    </row>
    <row r="101" spans="1:71" ht="15" hidden="1" customHeight="1">
      <c r="A101" t="s">
        <v>149</v>
      </c>
      <c r="B101" t="s">
        <v>50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1</v>
      </c>
      <c r="AP101">
        <v>3</v>
      </c>
      <c r="AQ101">
        <v>3</v>
      </c>
      <c r="AR101">
        <v>7</v>
      </c>
      <c r="AS101">
        <v>8</v>
      </c>
      <c r="AT101">
        <v>8</v>
      </c>
      <c r="AU101">
        <v>8</v>
      </c>
      <c r="AV101" s="6">
        <v>8</v>
      </c>
      <c r="AW101">
        <v>15</v>
      </c>
      <c r="AX101">
        <v>18</v>
      </c>
      <c r="AY101">
        <v>24</v>
      </c>
      <c r="AZ101">
        <v>262</v>
      </c>
      <c r="BA101">
        <v>262</v>
      </c>
      <c r="BB101" s="6">
        <v>320</v>
      </c>
      <c r="BC101" s="8">
        <f>AV101</f>
        <v>8</v>
      </c>
      <c r="BD101">
        <f t="shared" si="83"/>
        <v>8</v>
      </c>
      <c r="BE101">
        <f t="shared" si="83"/>
        <v>8</v>
      </c>
      <c r="BF101">
        <f t="shared" si="83"/>
        <v>8</v>
      </c>
      <c r="BG101">
        <f t="shared" si="83"/>
        <v>8</v>
      </c>
      <c r="BH101">
        <f t="shared" si="83"/>
        <v>8</v>
      </c>
      <c r="BI101" s="8">
        <f t="shared" si="83"/>
        <v>8</v>
      </c>
      <c r="BJ101" s="6">
        <f t="shared" si="83"/>
        <v>8</v>
      </c>
      <c r="BK101" s="8">
        <f>AV101</f>
        <v>8</v>
      </c>
      <c r="BL101" s="9">
        <f t="shared" si="84"/>
        <v>9.2032805903024979</v>
      </c>
      <c r="BM101" s="9">
        <f t="shared" si="84"/>
        <v>10.587546702979838</v>
      </c>
      <c r="BN101" s="9">
        <f t="shared" si="84"/>
        <v>12.180020383806943</v>
      </c>
      <c r="BO101" s="9">
        <f t="shared" si="84"/>
        <v>14.012018148472402</v>
      </c>
      <c r="BP101" s="9">
        <f t="shared" si="84"/>
        <v>16.119566832100301</v>
      </c>
      <c r="BQ101" s="9">
        <f t="shared" si="84"/>
        <v>18.544112068744077</v>
      </c>
      <c r="BR101" s="10">
        <f t="shared" si="84"/>
        <v>21.333333333333332</v>
      </c>
    </row>
    <row r="102" spans="1:71" ht="15" hidden="1" customHeight="1">
      <c r="A102" t="s">
        <v>149</v>
      </c>
      <c r="B102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 s="6">
        <v>0</v>
      </c>
      <c r="AW102">
        <v>0</v>
      </c>
      <c r="AX102">
        <v>0</v>
      </c>
      <c r="AY102">
        <v>0</v>
      </c>
      <c r="AZ102">
        <v>1</v>
      </c>
      <c r="BA102">
        <v>1</v>
      </c>
      <c r="BB102" s="6">
        <v>5</v>
      </c>
      <c r="BI102"/>
      <c r="BJ102"/>
      <c r="BK102"/>
      <c r="BL102"/>
      <c r="BM102"/>
      <c r="BN102"/>
      <c r="BO102"/>
      <c r="BP102"/>
      <c r="BQ102"/>
      <c r="BR102"/>
      <c r="BS102"/>
    </row>
    <row r="103" spans="1:71" ht="15" hidden="1" customHeight="1">
      <c r="A103" t="s">
        <v>149</v>
      </c>
      <c r="B103" t="s">
        <v>37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1</v>
      </c>
      <c r="AM103">
        <v>1</v>
      </c>
      <c r="AN103">
        <v>3</v>
      </c>
      <c r="AO103">
        <v>3</v>
      </c>
      <c r="AP103">
        <v>3</v>
      </c>
      <c r="AQ103">
        <v>3</v>
      </c>
      <c r="AR103">
        <v>3</v>
      </c>
      <c r="AS103">
        <v>4</v>
      </c>
      <c r="AT103">
        <v>6</v>
      </c>
      <c r="AU103">
        <v>9</v>
      </c>
      <c r="AV103" s="6">
        <v>9</v>
      </c>
      <c r="AW103">
        <v>15</v>
      </c>
      <c r="AX103">
        <v>15</v>
      </c>
      <c r="AY103">
        <v>25</v>
      </c>
      <c r="AZ103">
        <v>45</v>
      </c>
      <c r="BA103">
        <v>49</v>
      </c>
      <c r="BB103" s="6">
        <v>89</v>
      </c>
      <c r="BC103" s="8">
        <f t="shared" ref="BC103:BC114" si="85">AV103</f>
        <v>9</v>
      </c>
      <c r="BD103">
        <f t="shared" ref="BD103:BJ114" si="86">BC103*($AV103/$AU103)</f>
        <v>9</v>
      </c>
      <c r="BE103">
        <f t="shared" si="86"/>
        <v>9</v>
      </c>
      <c r="BF103">
        <f t="shared" si="86"/>
        <v>9</v>
      </c>
      <c r="BG103">
        <f t="shared" si="86"/>
        <v>9</v>
      </c>
      <c r="BH103">
        <f t="shared" si="86"/>
        <v>9</v>
      </c>
      <c r="BI103" s="8">
        <f t="shared" si="86"/>
        <v>9</v>
      </c>
      <c r="BJ103" s="6">
        <f t="shared" si="86"/>
        <v>9</v>
      </c>
      <c r="BK103" s="8">
        <f t="shared" ref="BK103:BK114" si="87">AV103</f>
        <v>9</v>
      </c>
      <c r="BL103" s="9">
        <f t="shared" ref="BL103:BR104" si="88">BK103*($AV103/$AP103)^(1/7)</f>
        <v>10.529377314828182</v>
      </c>
      <c r="BM103" s="9">
        <f t="shared" si="88"/>
        <v>12.318642959779815</v>
      </c>
      <c r="BN103" s="9">
        <f t="shared" si="88"/>
        <v>14.411959970019277</v>
      </c>
      <c r="BO103" s="9">
        <f t="shared" si="88"/>
        <v>16.860996041170313</v>
      </c>
      <c r="BP103" s="9">
        <f t="shared" si="88"/>
        <v>19.726198802367389</v>
      </c>
      <c r="BQ103" s="9">
        <f t="shared" si="88"/>
        <v>23.078287797493115</v>
      </c>
      <c r="BR103" s="10">
        <f t="shared" si="88"/>
        <v>27.000000000000007</v>
      </c>
    </row>
    <row r="104" spans="1:71" ht="15" hidden="1" customHeight="1">
      <c r="A104" t="s">
        <v>149</v>
      </c>
      <c r="B104" t="s">
        <v>105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3</v>
      </c>
      <c r="AR104">
        <v>3</v>
      </c>
      <c r="AS104">
        <v>3</v>
      </c>
      <c r="AT104">
        <v>4</v>
      </c>
      <c r="AU104">
        <v>13</v>
      </c>
      <c r="AV104" s="6">
        <v>13</v>
      </c>
      <c r="AW104">
        <v>17</v>
      </c>
      <c r="AX104">
        <v>17</v>
      </c>
      <c r="AY104">
        <v>20</v>
      </c>
      <c r="AZ104">
        <v>20</v>
      </c>
      <c r="BA104">
        <v>28</v>
      </c>
      <c r="BB104" s="6">
        <v>45</v>
      </c>
      <c r="BC104" s="8">
        <f t="shared" si="85"/>
        <v>13</v>
      </c>
      <c r="BD104">
        <f t="shared" si="86"/>
        <v>13</v>
      </c>
      <c r="BE104">
        <f t="shared" si="86"/>
        <v>13</v>
      </c>
      <c r="BF104">
        <f t="shared" si="86"/>
        <v>13</v>
      </c>
      <c r="BG104">
        <f t="shared" si="86"/>
        <v>13</v>
      </c>
      <c r="BH104">
        <f t="shared" si="86"/>
        <v>13</v>
      </c>
      <c r="BI104" s="8">
        <f t="shared" si="86"/>
        <v>13</v>
      </c>
      <c r="BJ104" s="6">
        <f t="shared" si="86"/>
        <v>13</v>
      </c>
      <c r="BK104" s="8">
        <f t="shared" si="87"/>
        <v>13</v>
      </c>
      <c r="BL104" s="9">
        <f t="shared" si="88"/>
        <v>16.985323853278725</v>
      </c>
      <c r="BM104" s="9">
        <f t="shared" si="88"/>
        <v>22.192402030827633</v>
      </c>
      <c r="BN104" s="9">
        <f t="shared" si="88"/>
        <v>28.995779659674447</v>
      </c>
      <c r="BO104" s="9">
        <f t="shared" si="88"/>
        <v>37.884823684452492</v>
      </c>
      <c r="BP104" s="9">
        <f t="shared" si="88"/>
        <v>49.498923031137664</v>
      </c>
      <c r="BQ104" s="9">
        <f t="shared" si="88"/>
        <v>64.67347985172232</v>
      </c>
      <c r="BR104" s="10">
        <f t="shared" si="88"/>
        <v>84.5</v>
      </c>
    </row>
    <row r="105" spans="1:71" hidden="1">
      <c r="A105" t="s">
        <v>149</v>
      </c>
      <c r="B105" t="s">
        <v>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1</v>
      </c>
      <c r="AN105">
        <v>1</v>
      </c>
      <c r="AO105">
        <v>1</v>
      </c>
      <c r="AP105">
        <v>1</v>
      </c>
      <c r="AQ105">
        <v>8</v>
      </c>
      <c r="AR105">
        <v>10</v>
      </c>
      <c r="AS105">
        <v>16</v>
      </c>
      <c r="AT105">
        <v>21</v>
      </c>
      <c r="AU105">
        <v>21</v>
      </c>
      <c r="AV105" s="6">
        <v>23</v>
      </c>
      <c r="AW105">
        <v>36</v>
      </c>
      <c r="AX105">
        <v>36</v>
      </c>
      <c r="AY105">
        <v>51</v>
      </c>
      <c r="AZ105">
        <v>62</v>
      </c>
      <c r="BA105">
        <v>69</v>
      </c>
      <c r="BB105" s="6">
        <v>80</v>
      </c>
      <c r="BC105" s="8">
        <f t="shared" si="85"/>
        <v>23</v>
      </c>
      <c r="BD105">
        <f t="shared" si="86"/>
        <v>25.190476190476193</v>
      </c>
      <c r="BE105">
        <f t="shared" si="86"/>
        <v>27.589569160997737</v>
      </c>
      <c r="BF105">
        <f t="shared" si="86"/>
        <v>30.217147176330858</v>
      </c>
      <c r="BG105">
        <f t="shared" si="86"/>
        <v>33.094970716933801</v>
      </c>
      <c r="BH105">
        <f t="shared" si="86"/>
        <v>36.24687268997512</v>
      </c>
      <c r="BI105" s="8">
        <f t="shared" si="86"/>
        <v>39.698955803306085</v>
      </c>
      <c r="BJ105" s="6">
        <f t="shared" si="86"/>
        <v>43.47980873695429</v>
      </c>
      <c r="BK105" s="8">
        <f t="shared" si="87"/>
        <v>23</v>
      </c>
      <c r="BL105" s="9">
        <f>BK105*($AV105/$AT105)^(1/2)</f>
        <v>24.070333449725045</v>
      </c>
      <c r="BM105" s="9">
        <f t="shared" ref="BM105:BR105" si="89">BL105*($AV105/$AT105)^(1/2)</f>
        <v>25.19047619047619</v>
      </c>
      <c r="BN105" s="9">
        <f t="shared" si="89"/>
        <v>26.36274615922267</v>
      </c>
      <c r="BO105" s="9">
        <f t="shared" si="89"/>
        <v>27.589569160997737</v>
      </c>
      <c r="BP105" s="9">
        <f t="shared" si="89"/>
        <v>28.873483888672453</v>
      </c>
      <c r="BQ105" s="9">
        <f t="shared" si="89"/>
        <v>30.217147176330858</v>
      </c>
      <c r="BR105" s="9">
        <f t="shared" si="89"/>
        <v>31.623339497117453</v>
      </c>
    </row>
    <row r="106" spans="1:71" ht="15" hidden="1" customHeight="1">
      <c r="A106" t="s">
        <v>149</v>
      </c>
      <c r="B106" t="s">
        <v>60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1</v>
      </c>
      <c r="AR106">
        <v>1</v>
      </c>
      <c r="AS106">
        <v>1</v>
      </c>
      <c r="AT106">
        <v>5</v>
      </c>
      <c r="AU106">
        <v>5</v>
      </c>
      <c r="AV106" s="6">
        <v>5</v>
      </c>
      <c r="AW106">
        <v>11</v>
      </c>
      <c r="AX106">
        <v>15</v>
      </c>
      <c r="AY106">
        <v>20</v>
      </c>
      <c r="AZ106">
        <v>21</v>
      </c>
      <c r="BA106">
        <v>45</v>
      </c>
      <c r="BB106" s="6">
        <v>86</v>
      </c>
      <c r="BC106" s="8">
        <f t="shared" si="85"/>
        <v>5</v>
      </c>
      <c r="BD106">
        <f t="shared" si="86"/>
        <v>5</v>
      </c>
      <c r="BE106">
        <f t="shared" si="86"/>
        <v>5</v>
      </c>
      <c r="BF106">
        <f t="shared" si="86"/>
        <v>5</v>
      </c>
      <c r="BG106">
        <f t="shared" si="86"/>
        <v>5</v>
      </c>
      <c r="BH106">
        <f t="shared" si="86"/>
        <v>5</v>
      </c>
      <c r="BI106" s="8">
        <f t="shared" si="86"/>
        <v>5</v>
      </c>
      <c r="BJ106" s="6">
        <f t="shared" si="86"/>
        <v>5</v>
      </c>
      <c r="BK106" s="8">
        <f t="shared" si="87"/>
        <v>5</v>
      </c>
      <c r="BL106" s="9" t="e">
        <f t="shared" ref="BL106:BR108" si="90">BK106*($AV106/$AP106)^(1/7)</f>
        <v>#DIV/0!</v>
      </c>
      <c r="BM106" s="9" t="e">
        <f t="shared" si="90"/>
        <v>#DIV/0!</v>
      </c>
      <c r="BN106" s="9" t="e">
        <f t="shared" si="90"/>
        <v>#DIV/0!</v>
      </c>
      <c r="BO106" s="9" t="e">
        <f t="shared" si="90"/>
        <v>#DIV/0!</v>
      </c>
      <c r="BP106" s="9" t="e">
        <f t="shared" si="90"/>
        <v>#DIV/0!</v>
      </c>
      <c r="BQ106" s="9" t="e">
        <f t="shared" si="90"/>
        <v>#DIV/0!</v>
      </c>
      <c r="BR106" s="10" t="e">
        <f t="shared" si="90"/>
        <v>#DIV/0!</v>
      </c>
    </row>
    <row r="107" spans="1:71" ht="15" hidden="1" customHeight="1">
      <c r="A107" t="s">
        <v>149</v>
      </c>
      <c r="B107" t="s">
        <v>61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1</v>
      </c>
      <c r="AR107">
        <v>2</v>
      </c>
      <c r="AS107">
        <v>4</v>
      </c>
      <c r="AT107">
        <v>4</v>
      </c>
      <c r="AU107">
        <v>4</v>
      </c>
      <c r="AV107" s="6">
        <v>4</v>
      </c>
      <c r="AW107">
        <v>4</v>
      </c>
      <c r="AX107">
        <v>4</v>
      </c>
      <c r="AY107">
        <v>4</v>
      </c>
      <c r="AZ107">
        <v>4</v>
      </c>
      <c r="BA107">
        <v>4</v>
      </c>
      <c r="BB107" s="6">
        <v>10</v>
      </c>
      <c r="BC107" s="8">
        <f t="shared" si="85"/>
        <v>4</v>
      </c>
      <c r="BD107">
        <f t="shared" si="86"/>
        <v>4</v>
      </c>
      <c r="BE107">
        <f t="shared" si="86"/>
        <v>4</v>
      </c>
      <c r="BF107">
        <f t="shared" si="86"/>
        <v>4</v>
      </c>
      <c r="BG107">
        <f t="shared" si="86"/>
        <v>4</v>
      </c>
      <c r="BH107">
        <f t="shared" si="86"/>
        <v>4</v>
      </c>
      <c r="BI107" s="8">
        <f t="shared" si="86"/>
        <v>4</v>
      </c>
      <c r="BJ107" s="6">
        <f t="shared" si="86"/>
        <v>4</v>
      </c>
      <c r="BK107" s="8">
        <f t="shared" si="87"/>
        <v>4</v>
      </c>
      <c r="BL107" s="9" t="e">
        <f t="shared" si="90"/>
        <v>#DIV/0!</v>
      </c>
      <c r="BM107" s="9" t="e">
        <f t="shared" si="90"/>
        <v>#DIV/0!</v>
      </c>
      <c r="BN107" s="9" t="e">
        <f t="shared" si="90"/>
        <v>#DIV/0!</v>
      </c>
      <c r="BO107" s="9" t="e">
        <f t="shared" si="90"/>
        <v>#DIV/0!</v>
      </c>
      <c r="BP107" s="9" t="e">
        <f t="shared" si="90"/>
        <v>#DIV/0!</v>
      </c>
      <c r="BQ107" s="9" t="e">
        <f t="shared" si="90"/>
        <v>#DIV/0!</v>
      </c>
      <c r="BR107" s="10" t="e">
        <f t="shared" si="90"/>
        <v>#DIV/0!</v>
      </c>
    </row>
    <row r="108" spans="1:71" ht="15" hidden="1" customHeight="1">
      <c r="A108" t="s">
        <v>149</v>
      </c>
      <c r="B108" t="s">
        <v>78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1</v>
      </c>
      <c r="AV108" s="6">
        <v>1</v>
      </c>
      <c r="AW108">
        <v>1</v>
      </c>
      <c r="AX108">
        <v>1</v>
      </c>
      <c r="AY108">
        <v>5</v>
      </c>
      <c r="AZ108">
        <v>12</v>
      </c>
      <c r="BA108">
        <v>19</v>
      </c>
      <c r="BB108" s="6">
        <v>35</v>
      </c>
      <c r="BC108" s="8">
        <f t="shared" si="85"/>
        <v>1</v>
      </c>
      <c r="BD108">
        <f t="shared" si="86"/>
        <v>1</v>
      </c>
      <c r="BE108">
        <f t="shared" si="86"/>
        <v>1</v>
      </c>
      <c r="BF108">
        <f t="shared" si="86"/>
        <v>1</v>
      </c>
      <c r="BG108">
        <f t="shared" si="86"/>
        <v>1</v>
      </c>
      <c r="BH108">
        <f t="shared" si="86"/>
        <v>1</v>
      </c>
      <c r="BI108" s="8">
        <f t="shared" si="86"/>
        <v>1</v>
      </c>
      <c r="BJ108" s="6">
        <f t="shared" si="86"/>
        <v>1</v>
      </c>
      <c r="BK108" s="8">
        <f t="shared" si="87"/>
        <v>1</v>
      </c>
      <c r="BL108" s="9" t="e">
        <f t="shared" si="90"/>
        <v>#DIV/0!</v>
      </c>
      <c r="BM108" s="9" t="e">
        <f t="shared" si="90"/>
        <v>#DIV/0!</v>
      </c>
      <c r="BN108" s="9" t="e">
        <f t="shared" si="90"/>
        <v>#DIV/0!</v>
      </c>
      <c r="BO108" s="9" t="e">
        <f t="shared" si="90"/>
        <v>#DIV/0!</v>
      </c>
      <c r="BP108" s="9" t="e">
        <f t="shared" si="90"/>
        <v>#DIV/0!</v>
      </c>
      <c r="BQ108" s="9" t="e">
        <f t="shared" si="90"/>
        <v>#DIV/0!</v>
      </c>
      <c r="BR108" s="10" t="e">
        <f t="shared" si="90"/>
        <v>#DIV/0!</v>
      </c>
    </row>
    <row r="109" spans="1:71" ht="15" customHeight="1">
      <c r="A109">
        <v>7</v>
      </c>
      <c r="B109" t="s">
        <v>3</v>
      </c>
      <c r="C109">
        <v>0</v>
      </c>
      <c r="D109">
        <v>1</v>
      </c>
      <c r="E109">
        <v>3</v>
      </c>
      <c r="F109">
        <v>3</v>
      </c>
      <c r="G109">
        <v>4</v>
      </c>
      <c r="H109">
        <v>5</v>
      </c>
      <c r="I109">
        <v>7</v>
      </c>
      <c r="J109">
        <v>7</v>
      </c>
      <c r="K109">
        <v>10</v>
      </c>
      <c r="L109">
        <v>13</v>
      </c>
      <c r="M109">
        <v>16</v>
      </c>
      <c r="N109">
        <v>18</v>
      </c>
      <c r="O109">
        <v>18</v>
      </c>
      <c r="P109">
        <v>24</v>
      </c>
      <c r="Q109">
        <v>28</v>
      </c>
      <c r="R109">
        <v>28</v>
      </c>
      <c r="S109">
        <v>30</v>
      </c>
      <c r="T109">
        <v>33</v>
      </c>
      <c r="U109">
        <v>40</v>
      </c>
      <c r="V109">
        <v>45</v>
      </c>
      <c r="W109">
        <v>47</v>
      </c>
      <c r="X109">
        <v>50</v>
      </c>
      <c r="Y109">
        <v>58</v>
      </c>
      <c r="Z109">
        <v>67</v>
      </c>
      <c r="AA109">
        <v>72</v>
      </c>
      <c r="AB109">
        <v>75</v>
      </c>
      <c r="AC109">
        <v>77</v>
      </c>
      <c r="AD109">
        <v>81</v>
      </c>
      <c r="AE109">
        <v>84</v>
      </c>
      <c r="AF109">
        <v>84</v>
      </c>
      <c r="AG109">
        <v>85</v>
      </c>
      <c r="AH109">
        <v>85</v>
      </c>
      <c r="AI109">
        <v>89</v>
      </c>
      <c r="AJ109">
        <v>89</v>
      </c>
      <c r="AK109">
        <v>91</v>
      </c>
      <c r="AL109">
        <v>93</v>
      </c>
      <c r="AM109">
        <v>93</v>
      </c>
      <c r="AN109">
        <v>93</v>
      </c>
      <c r="AO109">
        <v>102</v>
      </c>
      <c r="AP109">
        <v>106</v>
      </c>
      <c r="AQ109">
        <v>108</v>
      </c>
      <c r="AR109">
        <v>110</v>
      </c>
      <c r="AS109">
        <v>110</v>
      </c>
      <c r="AT109">
        <v>117</v>
      </c>
      <c r="AU109">
        <v>130</v>
      </c>
      <c r="AV109" s="6">
        <v>138</v>
      </c>
      <c r="AW109">
        <v>150</v>
      </c>
      <c r="AX109">
        <v>150</v>
      </c>
      <c r="AY109">
        <v>160</v>
      </c>
      <c r="AZ109">
        <v>178</v>
      </c>
      <c r="BA109">
        <v>178</v>
      </c>
      <c r="BB109" s="6">
        <v>200</v>
      </c>
      <c r="BC109" s="8">
        <f t="shared" si="85"/>
        <v>138</v>
      </c>
      <c r="BD109">
        <f t="shared" si="86"/>
        <v>146.49230769230769</v>
      </c>
      <c r="BE109">
        <f t="shared" si="86"/>
        <v>155.50721893491124</v>
      </c>
      <c r="BF109">
        <f t="shared" si="86"/>
        <v>165.0768939462904</v>
      </c>
      <c r="BG109">
        <f t="shared" si="86"/>
        <v>175.23547203529287</v>
      </c>
      <c r="BH109">
        <f t="shared" si="86"/>
        <v>186.01919339131089</v>
      </c>
      <c r="BI109" s="8">
        <f t="shared" si="86"/>
        <v>197.46652836923772</v>
      </c>
      <c r="BJ109" s="6">
        <f t="shared" si="86"/>
        <v>209.61831473042159</v>
      </c>
      <c r="BK109" s="8">
        <f t="shared" si="87"/>
        <v>138</v>
      </c>
      <c r="BL109" s="9">
        <f>BK109*($AV109/$AO109)^(1/7)</f>
        <v>144.08979287199796</v>
      </c>
      <c r="BM109" s="9">
        <f t="shared" ref="BM109:BR109" si="91">BL109*($AV109/$AO109)^(1/7)</f>
        <v>150.44832181083532</v>
      </c>
      <c r="BN109" s="9">
        <f t="shared" si="91"/>
        <v>157.08744585263011</v>
      </c>
      <c r="BO109" s="9">
        <f t="shared" si="91"/>
        <v>164.01954736012078</v>
      </c>
      <c r="BP109" s="9">
        <f t="shared" si="91"/>
        <v>171.25755511651207</v>
      </c>
      <c r="BQ109" s="9">
        <f t="shared" si="91"/>
        <v>178.81496843842751</v>
      </c>
      <c r="BR109" s="9">
        <f t="shared" si="91"/>
        <v>186.7058823529411</v>
      </c>
    </row>
    <row r="110" spans="1:71" ht="15" hidden="1" customHeight="1">
      <c r="A110" t="s">
        <v>149</v>
      </c>
      <c r="B110" t="s">
        <v>79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1</v>
      </c>
      <c r="AV110" s="6">
        <v>1</v>
      </c>
      <c r="AW110">
        <v>3</v>
      </c>
      <c r="AX110">
        <v>3</v>
      </c>
      <c r="AY110">
        <v>7</v>
      </c>
      <c r="AZ110">
        <v>10</v>
      </c>
      <c r="BA110">
        <v>16</v>
      </c>
      <c r="BB110" s="6">
        <v>32</v>
      </c>
      <c r="BC110" s="8">
        <f t="shared" si="85"/>
        <v>1</v>
      </c>
      <c r="BD110">
        <f t="shared" si="86"/>
        <v>1</v>
      </c>
      <c r="BE110">
        <f t="shared" si="86"/>
        <v>1</v>
      </c>
      <c r="BF110">
        <f t="shared" si="86"/>
        <v>1</v>
      </c>
      <c r="BG110">
        <f t="shared" si="86"/>
        <v>1</v>
      </c>
      <c r="BH110">
        <f t="shared" si="86"/>
        <v>1</v>
      </c>
      <c r="BI110" s="8">
        <f t="shared" si="86"/>
        <v>1</v>
      </c>
      <c r="BJ110" s="6">
        <f t="shared" si="86"/>
        <v>1</v>
      </c>
      <c r="BK110" s="8">
        <f t="shared" si="87"/>
        <v>1</v>
      </c>
      <c r="BL110" s="9" t="e">
        <f t="shared" ref="BL110:BR112" si="92">BK110*($AV110/$AP110)^(1/7)</f>
        <v>#DIV/0!</v>
      </c>
      <c r="BM110" s="9" t="e">
        <f t="shared" si="92"/>
        <v>#DIV/0!</v>
      </c>
      <c r="BN110" s="9" t="e">
        <f t="shared" si="92"/>
        <v>#DIV/0!</v>
      </c>
      <c r="BO110" s="9" t="e">
        <f t="shared" si="92"/>
        <v>#DIV/0!</v>
      </c>
      <c r="BP110" s="9" t="e">
        <f t="shared" si="92"/>
        <v>#DIV/0!</v>
      </c>
      <c r="BQ110" s="9" t="e">
        <f t="shared" si="92"/>
        <v>#DIV/0!</v>
      </c>
      <c r="BR110" s="10" t="e">
        <f t="shared" si="92"/>
        <v>#DIV/0!</v>
      </c>
    </row>
    <row r="111" spans="1:71" ht="15" hidden="1" customHeight="1">
      <c r="A111" t="s">
        <v>149</v>
      </c>
      <c r="B111" t="s">
        <v>71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2</v>
      </c>
      <c r="AU111">
        <v>7</v>
      </c>
      <c r="AV111" s="6">
        <v>7</v>
      </c>
      <c r="AW111">
        <v>16</v>
      </c>
      <c r="AX111">
        <v>16</v>
      </c>
      <c r="AY111">
        <v>31</v>
      </c>
      <c r="AZ111">
        <v>57</v>
      </c>
      <c r="BA111">
        <v>89</v>
      </c>
      <c r="BB111" s="6">
        <v>141</v>
      </c>
      <c r="BC111" s="8">
        <f t="shared" si="85"/>
        <v>7</v>
      </c>
      <c r="BD111">
        <f t="shared" si="86"/>
        <v>7</v>
      </c>
      <c r="BE111">
        <f t="shared" si="86"/>
        <v>7</v>
      </c>
      <c r="BF111">
        <f t="shared" si="86"/>
        <v>7</v>
      </c>
      <c r="BG111">
        <f t="shared" si="86"/>
        <v>7</v>
      </c>
      <c r="BH111">
        <f t="shared" si="86"/>
        <v>7</v>
      </c>
      <c r="BI111" s="8">
        <f t="shared" si="86"/>
        <v>7</v>
      </c>
      <c r="BJ111" s="6">
        <f t="shared" si="86"/>
        <v>7</v>
      </c>
      <c r="BK111" s="8">
        <f t="shared" si="87"/>
        <v>7</v>
      </c>
      <c r="BL111" s="9" t="e">
        <f t="shared" si="92"/>
        <v>#DIV/0!</v>
      </c>
      <c r="BM111" s="9" t="e">
        <f t="shared" si="92"/>
        <v>#DIV/0!</v>
      </c>
      <c r="BN111" s="9" t="e">
        <f t="shared" si="92"/>
        <v>#DIV/0!</v>
      </c>
      <c r="BO111" s="9" t="e">
        <f t="shared" si="92"/>
        <v>#DIV/0!</v>
      </c>
      <c r="BP111" s="9" t="e">
        <f t="shared" si="92"/>
        <v>#DIV/0!</v>
      </c>
      <c r="BQ111" s="9" t="e">
        <f t="shared" si="92"/>
        <v>#DIV/0!</v>
      </c>
      <c r="BR111" s="10" t="e">
        <f t="shared" si="92"/>
        <v>#DIV/0!</v>
      </c>
    </row>
    <row r="112" spans="1:71" ht="15" hidden="1" customHeight="1">
      <c r="A112" t="s">
        <v>149</v>
      </c>
      <c r="B112" t="s">
        <v>72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1</v>
      </c>
      <c r="AU112">
        <v>1</v>
      </c>
      <c r="AV112" s="6">
        <v>1</v>
      </c>
      <c r="AW112">
        <v>3</v>
      </c>
      <c r="AX112">
        <v>3</v>
      </c>
      <c r="AY112">
        <v>7</v>
      </c>
      <c r="AZ112">
        <v>13</v>
      </c>
      <c r="BA112">
        <v>17</v>
      </c>
      <c r="BB112" s="6">
        <v>24</v>
      </c>
      <c r="BC112" s="8">
        <f t="shared" si="85"/>
        <v>1</v>
      </c>
      <c r="BD112">
        <f t="shared" si="86"/>
        <v>1</v>
      </c>
      <c r="BE112">
        <f t="shared" si="86"/>
        <v>1</v>
      </c>
      <c r="BF112">
        <f t="shared" si="86"/>
        <v>1</v>
      </c>
      <c r="BG112">
        <f t="shared" si="86"/>
        <v>1</v>
      </c>
      <c r="BH112">
        <f t="shared" si="86"/>
        <v>1</v>
      </c>
      <c r="BI112" s="8">
        <f t="shared" si="86"/>
        <v>1</v>
      </c>
      <c r="BJ112" s="6">
        <f t="shared" si="86"/>
        <v>1</v>
      </c>
      <c r="BK112" s="8">
        <f t="shared" si="87"/>
        <v>1</v>
      </c>
      <c r="BL112" s="9" t="e">
        <f t="shared" si="92"/>
        <v>#DIV/0!</v>
      </c>
      <c r="BM112" s="9" t="e">
        <f t="shared" si="92"/>
        <v>#DIV/0!</v>
      </c>
      <c r="BN112" s="9" t="e">
        <f t="shared" si="92"/>
        <v>#DIV/0!</v>
      </c>
      <c r="BO112" s="9" t="e">
        <f t="shared" si="92"/>
        <v>#DIV/0!</v>
      </c>
      <c r="BP112" s="9" t="e">
        <f t="shared" si="92"/>
        <v>#DIV/0!</v>
      </c>
      <c r="BQ112" s="9" t="e">
        <f t="shared" si="92"/>
        <v>#DIV/0!</v>
      </c>
      <c r="BR112" s="10" t="e">
        <f t="shared" si="92"/>
        <v>#DIV/0!</v>
      </c>
    </row>
    <row r="113" spans="1:71" ht="15" customHeight="1">
      <c r="A113">
        <v>6</v>
      </c>
      <c r="B113" t="s">
        <v>17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2</v>
      </c>
      <c r="V113">
        <v>2</v>
      </c>
      <c r="W113">
        <v>2</v>
      </c>
      <c r="X113">
        <v>2</v>
      </c>
      <c r="Y113">
        <v>2</v>
      </c>
      <c r="Z113">
        <v>2</v>
      </c>
      <c r="AA113">
        <v>2</v>
      </c>
      <c r="AB113">
        <v>2</v>
      </c>
      <c r="AC113">
        <v>2</v>
      </c>
      <c r="AD113">
        <v>2</v>
      </c>
      <c r="AE113">
        <v>2</v>
      </c>
      <c r="AF113">
        <v>2</v>
      </c>
      <c r="AG113">
        <v>2</v>
      </c>
      <c r="AH113">
        <v>2</v>
      </c>
      <c r="AI113">
        <v>2</v>
      </c>
      <c r="AJ113">
        <v>2</v>
      </c>
      <c r="AK113">
        <v>6</v>
      </c>
      <c r="AL113">
        <v>13</v>
      </c>
      <c r="AM113">
        <v>15</v>
      </c>
      <c r="AN113">
        <v>32</v>
      </c>
      <c r="AO113">
        <v>45</v>
      </c>
      <c r="AP113">
        <v>84</v>
      </c>
      <c r="AQ113">
        <v>120</v>
      </c>
      <c r="AR113">
        <v>165</v>
      </c>
      <c r="AS113">
        <v>222</v>
      </c>
      <c r="AT113">
        <v>259</v>
      </c>
      <c r="AU113">
        <v>400</v>
      </c>
      <c r="AV113" s="6">
        <v>500</v>
      </c>
      <c r="AW113">
        <v>673</v>
      </c>
      <c r="AX113">
        <v>1073</v>
      </c>
      <c r="AY113">
        <v>1695</v>
      </c>
      <c r="AZ113">
        <v>2277</v>
      </c>
      <c r="BA113">
        <v>2277</v>
      </c>
      <c r="BB113" s="6">
        <v>5232</v>
      </c>
      <c r="BC113" s="8">
        <f t="shared" si="85"/>
        <v>500</v>
      </c>
      <c r="BD113">
        <f t="shared" si="86"/>
        <v>625</v>
      </c>
      <c r="BE113">
        <f t="shared" si="86"/>
        <v>781.25</v>
      </c>
      <c r="BF113">
        <f t="shared" si="86"/>
        <v>976.5625</v>
      </c>
      <c r="BG113">
        <f t="shared" si="86"/>
        <v>1220.703125</v>
      </c>
      <c r="BH113">
        <f t="shared" si="86"/>
        <v>1525.87890625</v>
      </c>
      <c r="BI113" s="8">
        <f t="shared" si="86"/>
        <v>1907.3486328125</v>
      </c>
      <c r="BJ113" s="6">
        <f t="shared" si="86"/>
        <v>2384.185791015625</v>
      </c>
      <c r="BK113" s="8">
        <f t="shared" si="87"/>
        <v>500</v>
      </c>
      <c r="BL113" s="9">
        <f>BK113*($AV113/$AP113)^(1/6)</f>
        <v>673.10857624745177</v>
      </c>
      <c r="BM113" s="9">
        <f t="shared" ref="BM113:BR113" si="93">BL113*($AV113/$AP113)^(1/6)</f>
        <v>906.1503108357432</v>
      </c>
      <c r="BN113" s="9">
        <f t="shared" si="93"/>
        <v>1219.875091185666</v>
      </c>
      <c r="BO113" s="9">
        <f t="shared" si="93"/>
        <v>1642.2167716554281</v>
      </c>
      <c r="BP113" s="9">
        <f t="shared" si="93"/>
        <v>2210.7803861173438</v>
      </c>
      <c r="BQ113" s="9">
        <f t="shared" si="93"/>
        <v>2976.1904761904739</v>
      </c>
      <c r="BR113" s="9">
        <f t="shared" si="93"/>
        <v>4006.5986681395907</v>
      </c>
    </row>
    <row r="114" spans="1:71" ht="15" hidden="1" customHeight="1">
      <c r="A114" t="s">
        <v>149</v>
      </c>
      <c r="B114" t="s">
        <v>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 s="6">
        <v>1</v>
      </c>
      <c r="AW114">
        <v>1</v>
      </c>
      <c r="AX114">
        <v>1</v>
      </c>
      <c r="AY114">
        <v>1</v>
      </c>
      <c r="AZ114">
        <v>2</v>
      </c>
      <c r="BA114">
        <v>2</v>
      </c>
      <c r="BB114" s="6">
        <v>6</v>
      </c>
      <c r="BC114" s="8">
        <f t="shared" si="85"/>
        <v>1</v>
      </c>
      <c r="BD114">
        <f t="shared" si="86"/>
        <v>1</v>
      </c>
      <c r="BE114">
        <f t="shared" si="86"/>
        <v>1</v>
      </c>
      <c r="BF114">
        <f t="shared" si="86"/>
        <v>1</v>
      </c>
      <c r="BG114">
        <f t="shared" si="86"/>
        <v>1</v>
      </c>
      <c r="BH114">
        <f t="shared" si="86"/>
        <v>1</v>
      </c>
      <c r="BI114" s="8">
        <f t="shared" si="86"/>
        <v>1</v>
      </c>
      <c r="BJ114" s="6">
        <f t="shared" si="86"/>
        <v>1</v>
      </c>
      <c r="BK114" s="8">
        <f t="shared" si="87"/>
        <v>1</v>
      </c>
      <c r="BL114" s="9">
        <f t="shared" ref="BL114:BR114" si="94">BK114*($AV114/$AP114)^(1/7)</f>
        <v>1</v>
      </c>
      <c r="BM114" s="9">
        <f t="shared" si="94"/>
        <v>1</v>
      </c>
      <c r="BN114" s="9">
        <f t="shared" si="94"/>
        <v>1</v>
      </c>
      <c r="BO114" s="9">
        <f t="shared" si="94"/>
        <v>1</v>
      </c>
      <c r="BP114" s="9">
        <f t="shared" si="94"/>
        <v>1</v>
      </c>
      <c r="BQ114" s="9">
        <f t="shared" si="94"/>
        <v>1</v>
      </c>
      <c r="BR114" s="10">
        <f t="shared" si="94"/>
        <v>1</v>
      </c>
    </row>
    <row r="115" spans="1:71" ht="15" hidden="1" customHeight="1">
      <c r="A115" t="s">
        <v>149</v>
      </c>
      <c r="B115" t="s">
        <v>135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 s="6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 s="6">
        <v>1</v>
      </c>
      <c r="BI115"/>
      <c r="BJ115"/>
      <c r="BK115"/>
      <c r="BL115"/>
      <c r="BM115"/>
      <c r="BN115"/>
      <c r="BO115"/>
      <c r="BP115"/>
      <c r="BQ115"/>
      <c r="BR115"/>
      <c r="BS115"/>
    </row>
    <row r="116" spans="1:71">
      <c r="A116">
        <v>2</v>
      </c>
      <c r="B116" t="s">
        <v>16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1</v>
      </c>
      <c r="AL116">
        <v>2</v>
      </c>
      <c r="AM116">
        <v>7</v>
      </c>
      <c r="AN116">
        <v>7</v>
      </c>
      <c r="AO116">
        <v>12</v>
      </c>
      <c r="AP116">
        <v>14</v>
      </c>
      <c r="AQ116">
        <v>15</v>
      </c>
      <c r="AR116">
        <v>21</v>
      </c>
      <c r="AS116">
        <v>35</v>
      </c>
      <c r="AT116">
        <v>94</v>
      </c>
      <c r="AU116">
        <v>101</v>
      </c>
      <c r="AV116" s="6">
        <v>161</v>
      </c>
      <c r="AW116">
        <v>203</v>
      </c>
      <c r="AX116">
        <v>248</v>
      </c>
      <c r="AY116">
        <v>355</v>
      </c>
      <c r="AZ116">
        <v>500</v>
      </c>
      <c r="BA116">
        <v>599</v>
      </c>
      <c r="BB116" s="6">
        <v>814</v>
      </c>
      <c r="BC116" s="8">
        <f t="shared" ref="BC116:BC121" si="95">AV116</f>
        <v>161</v>
      </c>
      <c r="BD116">
        <f t="shared" ref="BD116:BJ121" si="96">BC116*($AV116/$AU116)</f>
        <v>256.64356435643566</v>
      </c>
      <c r="BE116">
        <f t="shared" si="96"/>
        <v>409.10508773649644</v>
      </c>
      <c r="BF116">
        <f t="shared" si="96"/>
        <v>652.1378131245142</v>
      </c>
      <c r="BG116">
        <f t="shared" si="96"/>
        <v>1039.5464149806612</v>
      </c>
      <c r="BH116">
        <f t="shared" si="96"/>
        <v>1657.0987407117473</v>
      </c>
      <c r="BI116" s="8">
        <f t="shared" si="96"/>
        <v>2641.5138342038745</v>
      </c>
      <c r="BJ116" s="6">
        <f t="shared" si="96"/>
        <v>4210.7299733348891</v>
      </c>
      <c r="BK116" s="8">
        <f t="shared" ref="BK116:BK121" si="97">AV116</f>
        <v>161</v>
      </c>
      <c r="BL116" s="9">
        <f>BK116*($AV116/$AT116)^(1/2)</f>
        <v>210.70502220635063</v>
      </c>
      <c r="BM116" s="9">
        <f t="shared" ref="BM116:BR116" si="98">BL116*($AV116/$AT116)^(1/2)</f>
        <v>275.75531914893611</v>
      </c>
      <c r="BN116" s="9">
        <f t="shared" si="98"/>
        <v>360.88838909811113</v>
      </c>
      <c r="BO116" s="9">
        <f t="shared" si="98"/>
        <v>472.30432322317773</v>
      </c>
      <c r="BP116" s="9">
        <f t="shared" si="98"/>
        <v>618.11734728506258</v>
      </c>
      <c r="BQ116" s="9">
        <f t="shared" si="98"/>
        <v>808.94676637161285</v>
      </c>
      <c r="BR116" s="9">
        <f t="shared" si="98"/>
        <v>1058.6903501371817</v>
      </c>
    </row>
    <row r="117" spans="1:71">
      <c r="A117">
        <v>4</v>
      </c>
      <c r="B117" t="s">
        <v>28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1</v>
      </c>
      <c r="AL117">
        <v>1</v>
      </c>
      <c r="AM117">
        <v>8</v>
      </c>
      <c r="AN117">
        <v>8</v>
      </c>
      <c r="AO117">
        <v>18</v>
      </c>
      <c r="AP117">
        <v>27</v>
      </c>
      <c r="AQ117">
        <v>42</v>
      </c>
      <c r="AR117">
        <v>56</v>
      </c>
      <c r="AS117">
        <v>90</v>
      </c>
      <c r="AT117">
        <v>114</v>
      </c>
      <c r="AU117">
        <v>214</v>
      </c>
      <c r="AV117" s="6">
        <v>268</v>
      </c>
      <c r="AW117">
        <v>337</v>
      </c>
      <c r="AX117">
        <v>374</v>
      </c>
      <c r="AY117">
        <v>491</v>
      </c>
      <c r="AZ117">
        <v>652</v>
      </c>
      <c r="BA117">
        <v>652</v>
      </c>
      <c r="BB117" s="6">
        <v>1139</v>
      </c>
      <c r="BC117" s="8">
        <f t="shared" si="95"/>
        <v>268</v>
      </c>
      <c r="BD117">
        <f t="shared" si="96"/>
        <v>335.62616822429902</v>
      </c>
      <c r="BE117">
        <f t="shared" si="96"/>
        <v>420.31688357061745</v>
      </c>
      <c r="BF117">
        <f t="shared" si="96"/>
        <v>526.37815325666111</v>
      </c>
      <c r="BG117">
        <f t="shared" si="96"/>
        <v>659.20254706908952</v>
      </c>
      <c r="BH117">
        <f t="shared" si="96"/>
        <v>825.54337670334564</v>
      </c>
      <c r="BI117" s="8">
        <f t="shared" si="96"/>
        <v>1033.8580605443767</v>
      </c>
      <c r="BJ117" s="6">
        <f t="shared" si="96"/>
        <v>1294.7381318966959</v>
      </c>
      <c r="BK117" s="8">
        <f t="shared" si="97"/>
        <v>268</v>
      </c>
      <c r="BL117" s="9">
        <f>BK117*($AV117/$AR117)^(1/4)</f>
        <v>396.38890115316582</v>
      </c>
      <c r="BM117" s="9">
        <f t="shared" ref="BM117:BR117" si="99">BL117*($AV117/$AR117)^(1/4)</f>
        <v>586.28418267691893</v>
      </c>
      <c r="BN117" s="9">
        <f t="shared" si="99"/>
        <v>867.15127960740983</v>
      </c>
      <c r="BO117" s="9">
        <f t="shared" si="99"/>
        <v>1282.5714285714284</v>
      </c>
      <c r="BP117" s="9">
        <f t="shared" si="99"/>
        <v>1897.0040269472934</v>
      </c>
      <c r="BQ117" s="9">
        <f t="shared" si="99"/>
        <v>2805.7885885252545</v>
      </c>
      <c r="BR117" s="9">
        <f t="shared" si="99"/>
        <v>4149.9382666926031</v>
      </c>
    </row>
    <row r="118" spans="1:71" ht="15" hidden="1" customHeight="1">
      <c r="A118" t="s">
        <v>149</v>
      </c>
      <c r="B118" t="s">
        <v>103</v>
      </c>
      <c r="C118">
        <v>1</v>
      </c>
      <c r="D118">
        <v>1</v>
      </c>
      <c r="E118">
        <v>3</v>
      </c>
      <c r="F118">
        <v>3</v>
      </c>
      <c r="G118">
        <v>4</v>
      </c>
      <c r="H118">
        <v>5</v>
      </c>
      <c r="I118">
        <v>8</v>
      </c>
      <c r="J118">
        <v>8</v>
      </c>
      <c r="K118">
        <v>9</v>
      </c>
      <c r="L118">
        <v>10</v>
      </c>
      <c r="M118">
        <v>10</v>
      </c>
      <c r="N118">
        <v>10</v>
      </c>
      <c r="O118">
        <v>10</v>
      </c>
      <c r="P118">
        <v>11</v>
      </c>
      <c r="Q118">
        <v>11</v>
      </c>
      <c r="R118">
        <v>16</v>
      </c>
      <c r="S118">
        <v>16</v>
      </c>
      <c r="T118">
        <v>17</v>
      </c>
      <c r="U118">
        <v>18</v>
      </c>
      <c r="V118">
        <v>18</v>
      </c>
      <c r="W118">
        <v>18</v>
      </c>
      <c r="X118">
        <v>18</v>
      </c>
      <c r="Y118">
        <v>18</v>
      </c>
      <c r="Z118">
        <v>18</v>
      </c>
      <c r="AA118">
        <v>18</v>
      </c>
      <c r="AB118">
        <v>20</v>
      </c>
      <c r="AC118">
        <v>22</v>
      </c>
      <c r="AD118">
        <v>22</v>
      </c>
      <c r="AE118">
        <v>23</v>
      </c>
      <c r="AF118">
        <v>24</v>
      </c>
      <c r="AG118">
        <v>26</v>
      </c>
      <c r="AH118">
        <v>26</v>
      </c>
      <c r="AI118">
        <v>28</v>
      </c>
      <c r="AJ118">
        <v>30</v>
      </c>
      <c r="AK118">
        <v>31</v>
      </c>
      <c r="AL118">
        <v>32</v>
      </c>
      <c r="AM118">
        <v>32</v>
      </c>
      <c r="AN118">
        <v>34</v>
      </c>
      <c r="AO118">
        <v>39</v>
      </c>
      <c r="AP118">
        <v>40</v>
      </c>
      <c r="AQ118">
        <v>41</v>
      </c>
      <c r="AR118">
        <v>42</v>
      </c>
      <c r="AS118">
        <v>42</v>
      </c>
      <c r="AT118">
        <v>44</v>
      </c>
      <c r="AU118">
        <v>45</v>
      </c>
      <c r="AV118" s="6">
        <v>45</v>
      </c>
      <c r="AW118">
        <v>45</v>
      </c>
      <c r="AX118">
        <v>45</v>
      </c>
      <c r="AY118">
        <v>47</v>
      </c>
      <c r="AZ118">
        <v>48</v>
      </c>
      <c r="BA118">
        <v>49</v>
      </c>
      <c r="BB118" s="6">
        <v>50</v>
      </c>
      <c r="BC118" s="8">
        <f t="shared" si="95"/>
        <v>45</v>
      </c>
      <c r="BD118">
        <f t="shared" si="96"/>
        <v>45</v>
      </c>
      <c r="BE118">
        <f t="shared" si="96"/>
        <v>45</v>
      </c>
      <c r="BF118">
        <f t="shared" si="96"/>
        <v>45</v>
      </c>
      <c r="BG118">
        <f t="shared" si="96"/>
        <v>45</v>
      </c>
      <c r="BH118">
        <f t="shared" si="96"/>
        <v>45</v>
      </c>
      <c r="BI118" s="8">
        <f t="shared" si="96"/>
        <v>45</v>
      </c>
      <c r="BJ118" s="6">
        <f t="shared" si="96"/>
        <v>45</v>
      </c>
      <c r="BK118" s="8">
        <f t="shared" si="97"/>
        <v>45</v>
      </c>
      <c r="BL118" s="9">
        <f>BK118*($AV118/$AS118)^(1/3)</f>
        <v>46.046884864221596</v>
      </c>
      <c r="BM118" s="9">
        <f t="shared" ref="BM118:BR118" si="100">BL118*($AV118/$AS118)^(1/3)</f>
        <v>47.11812457108622</v>
      </c>
      <c r="BN118" s="9">
        <f t="shared" si="100"/>
        <v>48.214285714285722</v>
      </c>
      <c r="BO118" s="9">
        <f t="shared" si="100"/>
        <v>49.335948068808861</v>
      </c>
      <c r="BP118" s="9">
        <f t="shared" si="100"/>
        <v>50.483704897592382</v>
      </c>
      <c r="BQ118" s="9">
        <f t="shared" si="100"/>
        <v>51.658163265306136</v>
      </c>
      <c r="BR118" s="9">
        <f t="shared" si="100"/>
        <v>52.859944359438067</v>
      </c>
    </row>
    <row r="119" spans="1:71" ht="15" hidden="1" customHeight="1">
      <c r="A119" t="s">
        <v>149</v>
      </c>
      <c r="B119" t="s">
        <v>1</v>
      </c>
      <c r="C119">
        <v>2</v>
      </c>
      <c r="D119">
        <v>3</v>
      </c>
      <c r="E119">
        <v>5</v>
      </c>
      <c r="F119">
        <v>7</v>
      </c>
      <c r="G119">
        <v>8</v>
      </c>
      <c r="H119">
        <v>8</v>
      </c>
      <c r="I119">
        <v>14</v>
      </c>
      <c r="J119">
        <v>14</v>
      </c>
      <c r="K119">
        <v>14</v>
      </c>
      <c r="L119">
        <v>19</v>
      </c>
      <c r="M119">
        <v>19</v>
      </c>
      <c r="N119">
        <v>19</v>
      </c>
      <c r="O119">
        <v>19</v>
      </c>
      <c r="P119">
        <v>25</v>
      </c>
      <c r="Q119">
        <v>25</v>
      </c>
      <c r="R119">
        <v>25</v>
      </c>
      <c r="S119">
        <v>25</v>
      </c>
      <c r="T119">
        <v>32</v>
      </c>
      <c r="U119">
        <v>32</v>
      </c>
      <c r="V119">
        <v>32</v>
      </c>
      <c r="W119">
        <v>33</v>
      </c>
      <c r="X119">
        <v>33</v>
      </c>
      <c r="Y119">
        <v>33</v>
      </c>
      <c r="Z119">
        <v>33</v>
      </c>
      <c r="AA119">
        <v>33</v>
      </c>
      <c r="AB119">
        <v>34</v>
      </c>
      <c r="AC119">
        <v>35</v>
      </c>
      <c r="AD119">
        <v>35</v>
      </c>
      <c r="AE119">
        <v>35</v>
      </c>
      <c r="AF119">
        <v>35</v>
      </c>
      <c r="AG119">
        <v>35</v>
      </c>
      <c r="AH119">
        <v>35</v>
      </c>
      <c r="AI119">
        <v>35</v>
      </c>
      <c r="AJ119">
        <v>35</v>
      </c>
      <c r="AK119">
        <v>37</v>
      </c>
      <c r="AL119">
        <v>40</v>
      </c>
      <c r="AM119">
        <v>40</v>
      </c>
      <c r="AN119">
        <v>41</v>
      </c>
      <c r="AO119">
        <v>42</v>
      </c>
      <c r="AP119">
        <v>42</v>
      </c>
      <c r="AQ119">
        <v>43</v>
      </c>
      <c r="AR119">
        <v>43</v>
      </c>
      <c r="AS119">
        <v>43</v>
      </c>
      <c r="AT119">
        <v>47</v>
      </c>
      <c r="AU119">
        <v>48</v>
      </c>
      <c r="AV119" s="6">
        <v>50</v>
      </c>
      <c r="AW119">
        <v>50</v>
      </c>
      <c r="AX119">
        <v>50</v>
      </c>
      <c r="AY119">
        <v>53</v>
      </c>
      <c r="AZ119">
        <v>59</v>
      </c>
      <c r="BA119">
        <v>70</v>
      </c>
      <c r="BB119" s="6">
        <v>75</v>
      </c>
      <c r="BC119" s="8">
        <f t="shared" si="95"/>
        <v>50</v>
      </c>
      <c r="BD119">
        <f t="shared" si="96"/>
        <v>52.083333333333336</v>
      </c>
      <c r="BE119">
        <f t="shared" si="96"/>
        <v>54.253472222222229</v>
      </c>
      <c r="BF119">
        <f t="shared" si="96"/>
        <v>56.514033564814824</v>
      </c>
      <c r="BG119">
        <f t="shared" si="96"/>
        <v>58.86878496334878</v>
      </c>
      <c r="BH119">
        <f t="shared" si="96"/>
        <v>61.32165100348832</v>
      </c>
      <c r="BI119" s="8">
        <f t="shared" si="96"/>
        <v>63.876719795300339</v>
      </c>
      <c r="BJ119" s="6">
        <f t="shared" si="96"/>
        <v>66.538249786771189</v>
      </c>
      <c r="BK119" s="8">
        <f t="shared" si="97"/>
        <v>50</v>
      </c>
      <c r="BL119" s="9">
        <f>BK119*($AV119/$AS119)^(1/3)</f>
        <v>52.577974799611027</v>
      </c>
      <c r="BM119" s="9">
        <f t="shared" ref="BM119:BR119" si="101">BL119*($AV119/$AS119)^(1/3)</f>
        <v>55.288868680570644</v>
      </c>
      <c r="BN119" s="9">
        <f t="shared" si="101"/>
        <v>58.139534883720934</v>
      </c>
      <c r="BO119" s="9">
        <f t="shared" si="101"/>
        <v>61.137179999547712</v>
      </c>
      <c r="BP119" s="9">
        <f t="shared" si="101"/>
        <v>64.289382186710057</v>
      </c>
      <c r="BQ119" s="9">
        <f t="shared" si="101"/>
        <v>67.604110329908067</v>
      </c>
      <c r="BR119" s="9">
        <f t="shared" si="101"/>
        <v>71.089744185520601</v>
      </c>
    </row>
    <row r="120" spans="1:71" ht="15" hidden="1" customHeight="1">
      <c r="A120" t="s">
        <v>149</v>
      </c>
      <c r="B120" t="s">
        <v>80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1</v>
      </c>
      <c r="AV120" s="6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 s="6">
        <v>1</v>
      </c>
      <c r="BC120" s="8">
        <f t="shared" si="95"/>
        <v>1</v>
      </c>
      <c r="BD120">
        <f t="shared" si="96"/>
        <v>1</v>
      </c>
      <c r="BE120">
        <f t="shared" si="96"/>
        <v>1</v>
      </c>
      <c r="BF120">
        <f t="shared" si="96"/>
        <v>1</v>
      </c>
      <c r="BG120">
        <f t="shared" si="96"/>
        <v>1</v>
      </c>
      <c r="BH120">
        <f t="shared" si="96"/>
        <v>1</v>
      </c>
      <c r="BI120" s="8">
        <f t="shared" si="96"/>
        <v>1</v>
      </c>
      <c r="BJ120" s="6">
        <f t="shared" si="96"/>
        <v>1</v>
      </c>
      <c r="BK120" s="8">
        <f t="shared" si="97"/>
        <v>1</v>
      </c>
      <c r="BL120" s="9" t="e">
        <f t="shared" ref="BL120:BR121" si="102">BK120*($AV120/$AP120)^(1/7)</f>
        <v>#DIV/0!</v>
      </c>
      <c r="BM120" s="9" t="e">
        <f t="shared" si="102"/>
        <v>#DIV/0!</v>
      </c>
      <c r="BN120" s="9" t="e">
        <f t="shared" si="102"/>
        <v>#DIV/0!</v>
      </c>
      <c r="BO120" s="9" t="e">
        <f t="shared" si="102"/>
        <v>#DIV/0!</v>
      </c>
      <c r="BP120" s="9" t="e">
        <f t="shared" si="102"/>
        <v>#DIV/0!</v>
      </c>
      <c r="BQ120" s="9" t="e">
        <f t="shared" si="102"/>
        <v>#DIV/0!</v>
      </c>
      <c r="BR120" s="10" t="e">
        <f t="shared" si="102"/>
        <v>#DIV/0!</v>
      </c>
    </row>
    <row r="121" spans="1:71" ht="15" hidden="1" customHeight="1">
      <c r="A121" t="s">
        <v>149</v>
      </c>
      <c r="B121" t="s">
        <v>69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1</v>
      </c>
      <c r="AT121">
        <v>1</v>
      </c>
      <c r="AU121">
        <v>1</v>
      </c>
      <c r="AV121" s="6">
        <v>1</v>
      </c>
      <c r="AW121">
        <v>2</v>
      </c>
      <c r="AX121">
        <v>2</v>
      </c>
      <c r="AY121">
        <v>5</v>
      </c>
      <c r="AZ121">
        <v>7</v>
      </c>
      <c r="BA121">
        <v>7</v>
      </c>
      <c r="BB121" s="6">
        <v>16</v>
      </c>
      <c r="BC121" s="8">
        <f t="shared" si="95"/>
        <v>1</v>
      </c>
      <c r="BD121">
        <f t="shared" si="96"/>
        <v>1</v>
      </c>
      <c r="BE121">
        <f t="shared" si="96"/>
        <v>1</v>
      </c>
      <c r="BF121">
        <f t="shared" si="96"/>
        <v>1</v>
      </c>
      <c r="BG121">
        <f t="shared" si="96"/>
        <v>1</v>
      </c>
      <c r="BH121">
        <f t="shared" si="96"/>
        <v>1</v>
      </c>
      <c r="BI121" s="8">
        <f t="shared" si="96"/>
        <v>1</v>
      </c>
      <c r="BJ121" s="6">
        <f t="shared" si="96"/>
        <v>1</v>
      </c>
      <c r="BK121" s="8">
        <f t="shared" si="97"/>
        <v>1</v>
      </c>
      <c r="BL121" s="9" t="e">
        <f t="shared" si="102"/>
        <v>#DIV/0!</v>
      </c>
      <c r="BM121" s="9" t="e">
        <f t="shared" si="102"/>
        <v>#DIV/0!</v>
      </c>
      <c r="BN121" s="9" t="e">
        <f t="shared" si="102"/>
        <v>#DIV/0!</v>
      </c>
      <c r="BO121" s="9" t="e">
        <f t="shared" si="102"/>
        <v>#DIV/0!</v>
      </c>
      <c r="BP121" s="9" t="e">
        <f t="shared" si="102"/>
        <v>#DIV/0!</v>
      </c>
      <c r="BQ121" s="9" t="e">
        <f t="shared" si="102"/>
        <v>#DIV/0!</v>
      </c>
      <c r="BR121" s="10" t="e">
        <f t="shared" si="102"/>
        <v>#DIV/0!</v>
      </c>
    </row>
    <row r="122" spans="1:71" ht="15" hidden="1" customHeight="1">
      <c r="A122" t="s">
        <v>149</v>
      </c>
      <c r="B122" t="s">
        <v>113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 s="6">
        <v>0</v>
      </c>
      <c r="AW122">
        <v>0</v>
      </c>
      <c r="AX122">
        <v>0</v>
      </c>
      <c r="AY122">
        <v>0</v>
      </c>
      <c r="AZ122">
        <v>1</v>
      </c>
      <c r="BA122">
        <v>1</v>
      </c>
      <c r="BB122" s="6">
        <v>5</v>
      </c>
      <c r="BI122"/>
      <c r="BJ122"/>
      <c r="BK122"/>
      <c r="BL122"/>
      <c r="BM122"/>
      <c r="BN122"/>
      <c r="BO122"/>
      <c r="BP122"/>
      <c r="BQ122"/>
      <c r="BR122"/>
      <c r="BS122"/>
    </row>
    <row r="123" spans="1:71" ht="15" customHeight="1">
      <c r="A123">
        <v>4</v>
      </c>
      <c r="B123" t="s">
        <v>140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3</v>
      </c>
      <c r="T123">
        <v>3</v>
      </c>
      <c r="U123">
        <v>3</v>
      </c>
      <c r="V123">
        <v>8</v>
      </c>
      <c r="W123">
        <v>8</v>
      </c>
      <c r="X123">
        <v>9</v>
      </c>
      <c r="Y123">
        <v>9</v>
      </c>
      <c r="Z123">
        <v>9</v>
      </c>
      <c r="AA123">
        <v>9</v>
      </c>
      <c r="AB123">
        <v>9</v>
      </c>
      <c r="AC123">
        <v>9</v>
      </c>
      <c r="AD123">
        <v>9</v>
      </c>
      <c r="AE123">
        <v>9</v>
      </c>
      <c r="AF123">
        <v>9</v>
      </c>
      <c r="AG123">
        <v>9</v>
      </c>
      <c r="AH123">
        <v>9</v>
      </c>
      <c r="AI123">
        <v>9</v>
      </c>
      <c r="AJ123">
        <v>13</v>
      </c>
      <c r="AK123">
        <v>13</v>
      </c>
      <c r="AL123">
        <v>13</v>
      </c>
      <c r="AM123">
        <v>15</v>
      </c>
      <c r="AN123">
        <v>20</v>
      </c>
      <c r="AO123">
        <v>23</v>
      </c>
      <c r="AP123">
        <v>36</v>
      </c>
      <c r="AQ123">
        <v>40</v>
      </c>
      <c r="AR123">
        <v>51</v>
      </c>
      <c r="AS123">
        <v>86</v>
      </c>
      <c r="AT123">
        <v>116</v>
      </c>
      <c r="AU123">
        <v>164</v>
      </c>
      <c r="AV123" s="6">
        <v>207</v>
      </c>
      <c r="AW123">
        <v>274</v>
      </c>
      <c r="AX123">
        <v>322</v>
      </c>
      <c r="AY123">
        <v>384</v>
      </c>
      <c r="AZ123">
        <v>459</v>
      </c>
      <c r="BA123">
        <v>459</v>
      </c>
      <c r="BB123" s="6">
        <v>801</v>
      </c>
      <c r="BC123" s="8">
        <f>AV123</f>
        <v>207</v>
      </c>
      <c r="BD123">
        <f t="shared" ref="BD123:BJ127" si="103">BC123*($AV123/$AU123)</f>
        <v>261.27439024390242</v>
      </c>
      <c r="BE123">
        <f t="shared" si="103"/>
        <v>329.77926085663296</v>
      </c>
      <c r="BF123">
        <f t="shared" si="103"/>
        <v>416.24577437392088</v>
      </c>
      <c r="BG123">
        <f t="shared" si="103"/>
        <v>525.3833859475709</v>
      </c>
      <c r="BH123">
        <f t="shared" si="103"/>
        <v>663.13634689723892</v>
      </c>
      <c r="BI123" s="8">
        <f t="shared" si="103"/>
        <v>837.00746224224667</v>
      </c>
      <c r="BJ123" s="6">
        <f t="shared" si="103"/>
        <v>1056.4667358789334</v>
      </c>
      <c r="BK123" s="8">
        <f>AV123</f>
        <v>207</v>
      </c>
      <c r="BL123" s="9">
        <f>BK123*($AV123/$AR123)^(1/4)</f>
        <v>293.81258068570702</v>
      </c>
      <c r="BM123" s="9">
        <f t="shared" ref="BM123:BR123" si="104">BL123*($AV123/$AR123)^(1/4)</f>
        <v>417.03300758065262</v>
      </c>
      <c r="BN123" s="9">
        <f t="shared" si="104"/>
        <v>591.93016516132161</v>
      </c>
      <c r="BO123" s="9">
        <f t="shared" si="104"/>
        <v>840.17647058823525</v>
      </c>
      <c r="BP123" s="9">
        <f t="shared" si="104"/>
        <v>1192.5334157243401</v>
      </c>
      <c r="BQ123" s="9">
        <f t="shared" si="104"/>
        <v>1692.6633837097077</v>
      </c>
      <c r="BR123" s="9">
        <f t="shared" si="104"/>
        <v>2402.5400821253638</v>
      </c>
    </row>
    <row r="124" spans="1:71" ht="15" hidden="1" customHeight="1">
      <c r="A124" t="s">
        <v>149</v>
      </c>
      <c r="B124" t="s">
        <v>65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1</v>
      </c>
      <c r="AS124">
        <v>1</v>
      </c>
      <c r="AT124">
        <v>1</v>
      </c>
      <c r="AU124">
        <v>1</v>
      </c>
      <c r="AV124" s="6">
        <v>1</v>
      </c>
      <c r="AW124">
        <v>1</v>
      </c>
      <c r="AX124">
        <v>1</v>
      </c>
      <c r="AY124">
        <v>1</v>
      </c>
      <c r="AZ124">
        <v>1</v>
      </c>
      <c r="BA124">
        <v>1</v>
      </c>
      <c r="BB124" s="6">
        <v>3</v>
      </c>
      <c r="BC124" s="8">
        <f>AV124</f>
        <v>1</v>
      </c>
      <c r="BD124">
        <f t="shared" si="103"/>
        <v>1</v>
      </c>
      <c r="BE124">
        <f t="shared" si="103"/>
        <v>1</v>
      </c>
      <c r="BF124">
        <f t="shared" si="103"/>
        <v>1</v>
      </c>
      <c r="BG124">
        <f t="shared" si="103"/>
        <v>1</v>
      </c>
      <c r="BH124">
        <f t="shared" si="103"/>
        <v>1</v>
      </c>
      <c r="BI124" s="8">
        <f t="shared" si="103"/>
        <v>1</v>
      </c>
      <c r="BJ124" s="6">
        <f t="shared" si="103"/>
        <v>1</v>
      </c>
      <c r="BK124" s="8">
        <f>AV124</f>
        <v>1</v>
      </c>
      <c r="BL124" s="9" t="e">
        <f t="shared" ref="BL124:BR124" si="105">BK124*($AV124/$AP124)^(1/7)</f>
        <v>#DIV/0!</v>
      </c>
      <c r="BM124" s="9" t="e">
        <f t="shared" si="105"/>
        <v>#DIV/0!</v>
      </c>
      <c r="BN124" s="9" t="e">
        <f t="shared" si="105"/>
        <v>#DIV/0!</v>
      </c>
      <c r="BO124" s="9" t="e">
        <f t="shared" si="105"/>
        <v>#DIV/0!</v>
      </c>
      <c r="BP124" s="9" t="e">
        <f t="shared" si="105"/>
        <v>#DIV/0!</v>
      </c>
      <c r="BQ124" s="9" t="e">
        <f t="shared" si="105"/>
        <v>#DIV/0!</v>
      </c>
      <c r="BR124" s="10" t="e">
        <f t="shared" si="105"/>
        <v>#DIV/0!</v>
      </c>
    </row>
    <row r="125" spans="1:71" ht="15" hidden="1" customHeight="1">
      <c r="A125" t="s">
        <v>149</v>
      </c>
      <c r="B125" t="s">
        <v>12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4</v>
      </c>
      <c r="K125">
        <v>4</v>
      </c>
      <c r="L125">
        <v>4</v>
      </c>
      <c r="M125">
        <v>4</v>
      </c>
      <c r="N125">
        <v>5</v>
      </c>
      <c r="O125">
        <v>5</v>
      </c>
      <c r="P125">
        <v>5</v>
      </c>
      <c r="Q125">
        <v>5</v>
      </c>
      <c r="R125">
        <v>5</v>
      </c>
      <c r="S125">
        <v>5</v>
      </c>
      <c r="T125">
        <v>7</v>
      </c>
      <c r="U125">
        <v>7</v>
      </c>
      <c r="V125">
        <v>8</v>
      </c>
      <c r="W125">
        <v>8</v>
      </c>
      <c r="X125">
        <v>8</v>
      </c>
      <c r="Y125">
        <v>8</v>
      </c>
      <c r="Z125">
        <v>8</v>
      </c>
      <c r="AA125">
        <v>8</v>
      </c>
      <c r="AB125">
        <v>9</v>
      </c>
      <c r="AC125">
        <v>9</v>
      </c>
      <c r="AD125">
        <v>9</v>
      </c>
      <c r="AE125">
        <v>9</v>
      </c>
      <c r="AF125">
        <v>9</v>
      </c>
      <c r="AG125">
        <v>9</v>
      </c>
      <c r="AH125">
        <v>13</v>
      </c>
      <c r="AI125">
        <v>13</v>
      </c>
      <c r="AJ125">
        <v>13</v>
      </c>
      <c r="AK125">
        <v>13</v>
      </c>
      <c r="AL125">
        <v>13</v>
      </c>
      <c r="AM125">
        <v>13</v>
      </c>
      <c r="AN125">
        <v>19</v>
      </c>
      <c r="AO125">
        <v>21</v>
      </c>
      <c r="AP125">
        <v>21</v>
      </c>
      <c r="AQ125">
        <v>21</v>
      </c>
      <c r="AR125">
        <v>27</v>
      </c>
      <c r="AS125">
        <v>27</v>
      </c>
      <c r="AT125">
        <v>29</v>
      </c>
      <c r="AU125">
        <v>29</v>
      </c>
      <c r="AV125" s="6">
        <v>45</v>
      </c>
      <c r="AW125">
        <v>45</v>
      </c>
      <c r="AX125">
        <v>45</v>
      </c>
      <c r="AY125">
        <v>74</v>
      </c>
      <c r="AZ125">
        <v>74</v>
      </c>
      <c r="BA125">
        <v>85</v>
      </c>
      <c r="BB125" s="6">
        <v>85</v>
      </c>
      <c r="BC125" s="8">
        <f>AV125</f>
        <v>45</v>
      </c>
      <c r="BD125">
        <f t="shared" si="103"/>
        <v>69.827586206896555</v>
      </c>
      <c r="BE125">
        <f t="shared" si="103"/>
        <v>108.35315101070155</v>
      </c>
      <c r="BF125">
        <f t="shared" si="103"/>
        <v>168.13419984419207</v>
      </c>
      <c r="BG125">
        <f t="shared" si="103"/>
        <v>260.89789630995318</v>
      </c>
      <c r="BH125">
        <f t="shared" si="103"/>
        <v>404.84156323958251</v>
      </c>
      <c r="BI125" s="8">
        <f t="shared" si="103"/>
        <v>628.20242571659355</v>
      </c>
      <c r="BJ125" s="6">
        <f t="shared" si="103"/>
        <v>974.79686749126586</v>
      </c>
      <c r="BK125" s="8">
        <f>AV125</f>
        <v>45</v>
      </c>
      <c r="BL125" s="9">
        <f>BK125*($AV125/$AS125)^(1/3)</f>
        <v>53.353399567350941</v>
      </c>
      <c r="BM125" s="9">
        <f t="shared" ref="BM125:BR125" si="106">BL125*($AV125/$AS125)^(1/3)</f>
        <v>63.25744989763119</v>
      </c>
      <c r="BN125" s="9">
        <f t="shared" si="106"/>
        <v>75</v>
      </c>
      <c r="BO125" s="9">
        <f t="shared" si="106"/>
        <v>88.922332612251566</v>
      </c>
      <c r="BP125" s="9">
        <f t="shared" si="106"/>
        <v>105.42908316271865</v>
      </c>
      <c r="BQ125" s="9">
        <f t="shared" si="106"/>
        <v>125</v>
      </c>
      <c r="BR125" s="9">
        <f t="shared" si="106"/>
        <v>148.20388768708594</v>
      </c>
    </row>
    <row r="126" spans="1:71" ht="15" customHeight="1">
      <c r="A126">
        <v>5</v>
      </c>
      <c r="B126" t="s">
        <v>91</v>
      </c>
      <c r="C126">
        <v>1</v>
      </c>
      <c r="D126">
        <v>1</v>
      </c>
      <c r="E126">
        <v>2</v>
      </c>
      <c r="F126">
        <v>2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7</v>
      </c>
      <c r="M126">
        <v>8</v>
      </c>
      <c r="N126">
        <v>8</v>
      </c>
      <c r="O126">
        <v>11</v>
      </c>
      <c r="P126">
        <v>11</v>
      </c>
      <c r="Q126">
        <v>11</v>
      </c>
      <c r="R126">
        <v>11</v>
      </c>
      <c r="S126">
        <v>11</v>
      </c>
      <c r="T126">
        <v>11</v>
      </c>
      <c r="U126">
        <v>11</v>
      </c>
      <c r="V126">
        <v>11</v>
      </c>
      <c r="W126">
        <v>12</v>
      </c>
      <c r="X126">
        <v>12</v>
      </c>
      <c r="Y126">
        <v>13</v>
      </c>
      <c r="Z126">
        <v>13</v>
      </c>
      <c r="AA126">
        <v>13</v>
      </c>
      <c r="AB126">
        <v>13</v>
      </c>
      <c r="AC126">
        <v>13</v>
      </c>
      <c r="AD126">
        <v>13</v>
      </c>
      <c r="AE126">
        <v>13</v>
      </c>
      <c r="AF126">
        <v>13</v>
      </c>
      <c r="AG126">
        <v>15</v>
      </c>
      <c r="AH126">
        <v>15</v>
      </c>
      <c r="AI126">
        <v>15</v>
      </c>
      <c r="AJ126">
        <v>15</v>
      </c>
      <c r="AK126">
        <v>15</v>
      </c>
      <c r="AL126">
        <v>15</v>
      </c>
      <c r="AM126">
        <v>16</v>
      </c>
      <c r="AN126">
        <v>16</v>
      </c>
      <c r="AO126">
        <v>24</v>
      </c>
      <c r="AP126">
        <v>30</v>
      </c>
      <c r="AQ126">
        <v>53</v>
      </c>
      <c r="AR126">
        <v>73</v>
      </c>
      <c r="AS126">
        <v>104</v>
      </c>
      <c r="AT126">
        <v>172</v>
      </c>
      <c r="AU126">
        <v>217</v>
      </c>
      <c r="AV126" s="6">
        <v>357</v>
      </c>
      <c r="AW126">
        <v>473</v>
      </c>
      <c r="AX126">
        <v>538</v>
      </c>
      <c r="AY126">
        <v>913</v>
      </c>
      <c r="AZ126">
        <v>1235</v>
      </c>
      <c r="BA126">
        <v>1617</v>
      </c>
      <c r="BB126" s="6">
        <v>2133</v>
      </c>
      <c r="BC126" s="8">
        <f>AV126</f>
        <v>357</v>
      </c>
      <c r="BD126">
        <f t="shared" si="103"/>
        <v>587.32258064516134</v>
      </c>
      <c r="BE126">
        <f t="shared" si="103"/>
        <v>966.24037460978161</v>
      </c>
      <c r="BF126">
        <f t="shared" si="103"/>
        <v>1589.6212614548022</v>
      </c>
      <c r="BG126">
        <f t="shared" si="103"/>
        <v>2615.1833656191907</v>
      </c>
      <c r="BH126">
        <f t="shared" si="103"/>
        <v>4302.3984402122169</v>
      </c>
      <c r="BI126" s="8">
        <f t="shared" si="103"/>
        <v>7078.1393693813898</v>
      </c>
      <c r="BJ126" s="6">
        <f t="shared" si="103"/>
        <v>11644.680898014545</v>
      </c>
      <c r="BK126" s="8">
        <f>AV126</f>
        <v>357</v>
      </c>
      <c r="BL126" s="9">
        <f>BK126*($AV126/$AQ126)^(1/5)</f>
        <v>522.81337008828996</v>
      </c>
      <c r="BM126" s="9">
        <f t="shared" ref="BM126:BR126" si="107">BL126*($AV126/$AQ126)^(1/5)</f>
        <v>765.64095222149922</v>
      </c>
      <c r="BN126" s="9">
        <f t="shared" si="107"/>
        <v>1121.2530154300543</v>
      </c>
      <c r="BO126" s="9">
        <f t="shared" si="107"/>
        <v>1642.0338031334568</v>
      </c>
      <c r="BP126" s="9">
        <f t="shared" si="107"/>
        <v>2404.6981132075466</v>
      </c>
      <c r="BQ126" s="9">
        <f t="shared" si="107"/>
        <v>3521.5919456890465</v>
      </c>
      <c r="BR126" s="9">
        <f t="shared" si="107"/>
        <v>5157.2418857183993</v>
      </c>
    </row>
    <row r="127" spans="1:71" ht="15" hidden="1" customHeight="1">
      <c r="A127" t="s">
        <v>149</v>
      </c>
      <c r="B127" t="s">
        <v>104</v>
      </c>
      <c r="C127">
        <v>0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6</v>
      </c>
      <c r="N127">
        <v>6</v>
      </c>
      <c r="O127">
        <v>8</v>
      </c>
      <c r="P127">
        <v>8</v>
      </c>
      <c r="Q127">
        <v>8</v>
      </c>
      <c r="R127">
        <v>10</v>
      </c>
      <c r="S127">
        <v>10</v>
      </c>
      <c r="T127">
        <v>13</v>
      </c>
      <c r="U127">
        <v>13</v>
      </c>
      <c r="V127">
        <v>14</v>
      </c>
      <c r="W127">
        <v>15</v>
      </c>
      <c r="X127">
        <v>15</v>
      </c>
      <c r="Y127">
        <v>16</v>
      </c>
      <c r="Z127">
        <v>16</v>
      </c>
      <c r="AA127">
        <v>16</v>
      </c>
      <c r="AB127">
        <v>16</v>
      </c>
      <c r="AC127">
        <v>16</v>
      </c>
      <c r="AD127">
        <v>16</v>
      </c>
      <c r="AE127">
        <v>16</v>
      </c>
      <c r="AF127">
        <v>16</v>
      </c>
      <c r="AG127">
        <v>16</v>
      </c>
      <c r="AH127">
        <v>16</v>
      </c>
      <c r="AI127">
        <v>16</v>
      </c>
      <c r="AJ127">
        <v>16</v>
      </c>
      <c r="AK127">
        <v>16</v>
      </c>
      <c r="AL127">
        <v>16</v>
      </c>
      <c r="AM127">
        <v>16</v>
      </c>
      <c r="AN127">
        <v>16</v>
      </c>
      <c r="AO127">
        <v>16</v>
      </c>
      <c r="AP127">
        <v>16</v>
      </c>
      <c r="AQ127">
        <v>16</v>
      </c>
      <c r="AR127">
        <v>16</v>
      </c>
      <c r="AS127">
        <v>16</v>
      </c>
      <c r="AT127">
        <v>16</v>
      </c>
      <c r="AU127">
        <v>16</v>
      </c>
      <c r="AV127" s="6">
        <v>18</v>
      </c>
      <c r="AW127">
        <v>30</v>
      </c>
      <c r="AX127">
        <v>30</v>
      </c>
      <c r="AY127">
        <v>31</v>
      </c>
      <c r="AZ127">
        <v>38</v>
      </c>
      <c r="BA127">
        <v>39</v>
      </c>
      <c r="BB127" s="6">
        <v>47</v>
      </c>
      <c r="BC127" s="8">
        <f>AV127</f>
        <v>18</v>
      </c>
      <c r="BD127">
        <f t="shared" si="103"/>
        <v>20.25</v>
      </c>
      <c r="BE127">
        <f t="shared" si="103"/>
        <v>22.78125</v>
      </c>
      <c r="BF127">
        <f t="shared" si="103"/>
        <v>25.62890625</v>
      </c>
      <c r="BG127">
        <f t="shared" si="103"/>
        <v>28.83251953125</v>
      </c>
      <c r="BH127">
        <f t="shared" si="103"/>
        <v>32.43658447265625</v>
      </c>
      <c r="BI127" s="8">
        <f t="shared" si="103"/>
        <v>36.491157531738281</v>
      </c>
      <c r="BJ127" s="6">
        <f t="shared" si="103"/>
        <v>41.052552223205566</v>
      </c>
      <c r="BK127" s="8">
        <f>AV127</f>
        <v>18</v>
      </c>
      <c r="BL127" s="9">
        <f t="shared" ref="BL127:BR127" si="108">BK127*($AV127/$AP127)^(1/7)</f>
        <v>18.305433088149883</v>
      </c>
      <c r="BM127" s="9">
        <f t="shared" si="108"/>
        <v>18.616048919151808</v>
      </c>
      <c r="BN127" s="9">
        <f t="shared" si="108"/>
        <v>18.931935436403244</v>
      </c>
      <c r="BO127" s="9">
        <f t="shared" si="108"/>
        <v>19.253182075569622</v>
      </c>
      <c r="BP127" s="9">
        <f t="shared" si="108"/>
        <v>19.57987978990591</v>
      </c>
      <c r="BQ127" s="9">
        <f t="shared" si="108"/>
        <v>19.912121076007821</v>
      </c>
      <c r="BR127" s="10">
        <f t="shared" si="108"/>
        <v>20.250000000000011</v>
      </c>
    </row>
  </sheetData>
  <autoFilter ref="A1:BR127">
    <filterColumn colId="45">
      <customFilters>
        <customFilter operator="greaterThanOrEqual" val="50"/>
      </customFilters>
    </filterColumn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 enableFormatConditionsCalculation="0"/>
  <dimension ref="A1:BC97"/>
  <sheetViews>
    <sheetView showRuler="0" workbookViewId="0">
      <selection activeCell="B2" sqref="B2"/>
    </sheetView>
  </sheetViews>
  <sheetFormatPr baseColWidth="10" defaultRowHeight="15" x14ac:dyDescent="0"/>
  <cols>
    <col min="3" max="26" width="0" hidden="1" customWidth="1"/>
  </cols>
  <sheetData>
    <row r="1" spans="1:55" s="1" customFormat="1">
      <c r="A1" s="1" t="s">
        <v>0</v>
      </c>
      <c r="B1" s="1" t="s">
        <v>148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</row>
    <row r="2" spans="1:55" hidden="1">
      <c r="A2" t="s">
        <v>7</v>
      </c>
      <c r="B2" t="s">
        <v>157</v>
      </c>
      <c r="C2">
        <v>0</v>
      </c>
      <c r="D2">
        <v>0</v>
      </c>
      <c r="E2">
        <v>0</v>
      </c>
      <c r="F2">
        <v>0</v>
      </c>
      <c r="G2">
        <v>4</v>
      </c>
      <c r="H2">
        <v>5</v>
      </c>
      <c r="I2">
        <v>5</v>
      </c>
      <c r="J2">
        <v>6</v>
      </c>
      <c r="K2">
        <v>9</v>
      </c>
      <c r="L2">
        <v>9</v>
      </c>
      <c r="M2">
        <v>12</v>
      </c>
      <c r="N2">
        <v>12</v>
      </c>
      <c r="O2">
        <v>12</v>
      </c>
      <c r="P2">
        <v>13</v>
      </c>
      <c r="Q2">
        <v>13</v>
      </c>
      <c r="R2">
        <v>14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15</v>
      </c>
      <c r="AJ2">
        <v>15</v>
      </c>
      <c r="AK2">
        <v>15</v>
      </c>
      <c r="AL2">
        <v>15</v>
      </c>
      <c r="AM2">
        <v>15</v>
      </c>
      <c r="AN2">
        <v>15</v>
      </c>
      <c r="AO2">
        <v>25</v>
      </c>
      <c r="AP2">
        <v>27</v>
      </c>
      <c r="AQ2">
        <v>30</v>
      </c>
      <c r="AR2">
        <v>39</v>
      </c>
      <c r="AS2">
        <v>52</v>
      </c>
      <c r="AT2">
        <v>55</v>
      </c>
      <c r="AU2">
        <v>60</v>
      </c>
      <c r="AV2">
        <v>63</v>
      </c>
      <c r="AW2">
        <v>76</v>
      </c>
      <c r="AX2">
        <v>91</v>
      </c>
      <c r="AY2">
        <v>107</v>
      </c>
      <c r="AZ2">
        <v>128</v>
      </c>
      <c r="BA2">
        <v>128</v>
      </c>
      <c r="BB2">
        <v>200</v>
      </c>
    </row>
    <row r="3" spans="1:55" hidden="1">
      <c r="A3" t="s">
        <v>29</v>
      </c>
      <c r="B3" t="s">
        <v>157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2</v>
      </c>
      <c r="AL3">
        <v>2</v>
      </c>
      <c r="AM3">
        <v>3</v>
      </c>
      <c r="AN3">
        <v>3</v>
      </c>
      <c r="AO3">
        <v>9</v>
      </c>
      <c r="AP3">
        <v>14</v>
      </c>
      <c r="AQ3">
        <v>18</v>
      </c>
      <c r="AR3">
        <v>21</v>
      </c>
      <c r="AS3">
        <v>29</v>
      </c>
      <c r="AT3">
        <v>41</v>
      </c>
      <c r="AU3">
        <v>55</v>
      </c>
      <c r="AV3">
        <v>79</v>
      </c>
      <c r="AW3">
        <v>104</v>
      </c>
      <c r="AX3">
        <v>131</v>
      </c>
      <c r="AY3">
        <v>182</v>
      </c>
      <c r="AZ3">
        <v>246</v>
      </c>
      <c r="BA3">
        <v>302</v>
      </c>
      <c r="BB3">
        <v>504</v>
      </c>
    </row>
    <row r="4" spans="1:55" hidden="1">
      <c r="A4" t="s">
        <v>24</v>
      </c>
      <c r="B4" t="s">
        <v>157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1</v>
      </c>
      <c r="AK4">
        <v>23</v>
      </c>
      <c r="AL4">
        <v>33</v>
      </c>
      <c r="AM4">
        <v>33</v>
      </c>
      <c r="AN4">
        <v>36</v>
      </c>
      <c r="AO4">
        <v>41</v>
      </c>
      <c r="AP4">
        <v>47</v>
      </c>
      <c r="AQ4">
        <v>49</v>
      </c>
      <c r="AR4">
        <v>49</v>
      </c>
      <c r="AS4">
        <v>52</v>
      </c>
      <c r="AT4">
        <v>55</v>
      </c>
      <c r="AU4">
        <v>60</v>
      </c>
      <c r="AV4">
        <v>85</v>
      </c>
      <c r="AW4">
        <v>85</v>
      </c>
      <c r="AX4">
        <v>95</v>
      </c>
      <c r="AY4">
        <v>110</v>
      </c>
      <c r="AZ4">
        <v>195</v>
      </c>
      <c r="BA4">
        <v>195</v>
      </c>
      <c r="BB4">
        <v>189</v>
      </c>
    </row>
    <row r="5" spans="1:55" hidden="1">
      <c r="A5" t="s">
        <v>18</v>
      </c>
      <c r="B5" t="s">
        <v>157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2</v>
      </c>
      <c r="AQ5">
        <v>8</v>
      </c>
      <c r="AR5">
        <v>13</v>
      </c>
      <c r="AS5">
        <v>23</v>
      </c>
      <c r="AT5">
        <v>50</v>
      </c>
      <c r="AU5">
        <v>109</v>
      </c>
      <c r="AV5">
        <v>169</v>
      </c>
      <c r="AW5">
        <v>200</v>
      </c>
      <c r="AX5">
        <v>239</v>
      </c>
      <c r="AY5">
        <v>267</v>
      </c>
      <c r="AZ5">
        <v>314</v>
      </c>
      <c r="BA5">
        <v>314</v>
      </c>
      <c r="BB5">
        <v>559</v>
      </c>
    </row>
    <row r="6" spans="1:55" hidden="1">
      <c r="A6" t="s">
        <v>6</v>
      </c>
      <c r="B6" t="s">
        <v>157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2</v>
      </c>
      <c r="J6">
        <v>2</v>
      </c>
      <c r="K6">
        <v>2</v>
      </c>
      <c r="L6">
        <v>4</v>
      </c>
      <c r="M6">
        <v>4</v>
      </c>
      <c r="N6">
        <v>4</v>
      </c>
      <c r="O6">
        <v>4</v>
      </c>
      <c r="P6">
        <v>4</v>
      </c>
      <c r="Q6">
        <v>5</v>
      </c>
      <c r="R6">
        <v>5</v>
      </c>
      <c r="S6">
        <v>7</v>
      </c>
      <c r="T6">
        <v>7</v>
      </c>
      <c r="U6">
        <v>7</v>
      </c>
      <c r="V6">
        <v>7</v>
      </c>
      <c r="W6">
        <v>7</v>
      </c>
      <c r="X6">
        <v>7</v>
      </c>
      <c r="Y6">
        <v>7</v>
      </c>
      <c r="Z6">
        <v>7</v>
      </c>
      <c r="AA6">
        <v>7</v>
      </c>
      <c r="AB6">
        <v>7</v>
      </c>
      <c r="AC6">
        <v>8</v>
      </c>
      <c r="AD6">
        <v>8</v>
      </c>
      <c r="AE6">
        <v>8</v>
      </c>
      <c r="AF6">
        <v>8</v>
      </c>
      <c r="AG6">
        <v>9</v>
      </c>
      <c r="AH6">
        <v>9</v>
      </c>
      <c r="AI6">
        <v>9</v>
      </c>
      <c r="AJ6">
        <v>10</v>
      </c>
      <c r="AK6">
        <v>11</v>
      </c>
      <c r="AL6">
        <v>11</v>
      </c>
      <c r="AM6">
        <v>13</v>
      </c>
      <c r="AN6">
        <v>14</v>
      </c>
      <c r="AO6">
        <v>20</v>
      </c>
      <c r="AP6">
        <v>24</v>
      </c>
      <c r="AQ6">
        <v>27</v>
      </c>
      <c r="AR6">
        <v>30</v>
      </c>
      <c r="AS6">
        <v>33</v>
      </c>
      <c r="AT6">
        <v>37</v>
      </c>
      <c r="AU6">
        <v>49</v>
      </c>
      <c r="AV6">
        <v>54</v>
      </c>
      <c r="AW6">
        <v>64</v>
      </c>
      <c r="AX6">
        <v>77</v>
      </c>
      <c r="AY6">
        <v>79</v>
      </c>
      <c r="AZ6">
        <v>108</v>
      </c>
      <c r="BA6">
        <v>117</v>
      </c>
      <c r="BB6">
        <v>193</v>
      </c>
    </row>
    <row r="7" spans="1:55" hidden="1">
      <c r="A7" t="s">
        <v>146</v>
      </c>
      <c r="B7" t="s">
        <v>157</v>
      </c>
      <c r="C7">
        <v>104</v>
      </c>
      <c r="D7">
        <v>199</v>
      </c>
      <c r="E7">
        <v>371</v>
      </c>
      <c r="F7">
        <v>645</v>
      </c>
      <c r="G7">
        <v>1017</v>
      </c>
      <c r="H7">
        <v>1454</v>
      </c>
      <c r="I7">
        <v>1955</v>
      </c>
      <c r="J7">
        <v>2533</v>
      </c>
      <c r="K7">
        <v>3238</v>
      </c>
      <c r="L7">
        <v>3996</v>
      </c>
      <c r="M7">
        <v>4738</v>
      </c>
      <c r="N7">
        <v>5453</v>
      </c>
      <c r="O7">
        <v>6194</v>
      </c>
      <c r="P7">
        <v>7029</v>
      </c>
      <c r="Q7">
        <v>7775</v>
      </c>
      <c r="R7">
        <v>8475</v>
      </c>
      <c r="S7">
        <v>9157</v>
      </c>
      <c r="T7">
        <v>9714</v>
      </c>
      <c r="U7">
        <v>10198</v>
      </c>
      <c r="V7">
        <v>10626</v>
      </c>
      <c r="W7">
        <v>11020</v>
      </c>
      <c r="X7">
        <v>11393</v>
      </c>
      <c r="Y7">
        <v>11689</v>
      </c>
      <c r="Z7">
        <v>11952</v>
      </c>
      <c r="AA7">
        <v>12164</v>
      </c>
      <c r="AB7">
        <v>12331</v>
      </c>
      <c r="AC7">
        <v>12445</v>
      </c>
      <c r="AD7">
        <v>12529</v>
      </c>
      <c r="AE7">
        <v>12588</v>
      </c>
      <c r="AF7">
        <v>12635</v>
      </c>
      <c r="AG7">
        <v>12888</v>
      </c>
      <c r="AH7">
        <v>12917</v>
      </c>
      <c r="AI7">
        <v>12938</v>
      </c>
      <c r="AJ7">
        <v>12954</v>
      </c>
      <c r="AK7">
        <v>12968</v>
      </c>
      <c r="AL7">
        <v>12979</v>
      </c>
      <c r="AM7">
        <v>13004</v>
      </c>
      <c r="AN7">
        <v>13014</v>
      </c>
      <c r="AO7">
        <v>13019</v>
      </c>
      <c r="AP7">
        <v>13025</v>
      </c>
      <c r="AQ7">
        <v>13033</v>
      </c>
      <c r="AR7">
        <v>13044</v>
      </c>
      <c r="AS7">
        <v>13054</v>
      </c>
      <c r="AT7">
        <v>13071</v>
      </c>
      <c r="AU7">
        <v>13098</v>
      </c>
      <c r="AV7">
        <v>13104</v>
      </c>
      <c r="AW7">
        <v>13116</v>
      </c>
      <c r="AX7">
        <v>13117</v>
      </c>
      <c r="AY7">
        <v>13127</v>
      </c>
      <c r="AZ7">
        <v>13148</v>
      </c>
      <c r="BA7">
        <v>13151</v>
      </c>
      <c r="BB7">
        <v>13159</v>
      </c>
    </row>
    <row r="8" spans="1:55" hidden="1">
      <c r="A8" t="s">
        <v>147</v>
      </c>
      <c r="B8" t="s">
        <v>157</v>
      </c>
      <c r="C8">
        <v>444</v>
      </c>
      <c r="D8">
        <v>444</v>
      </c>
      <c r="E8">
        <v>549</v>
      </c>
      <c r="F8">
        <v>761</v>
      </c>
      <c r="G8">
        <v>1058</v>
      </c>
      <c r="H8">
        <v>1423</v>
      </c>
      <c r="I8">
        <v>3554</v>
      </c>
      <c r="J8">
        <v>3554</v>
      </c>
      <c r="K8">
        <v>4903</v>
      </c>
      <c r="L8">
        <v>5806</v>
      </c>
      <c r="M8">
        <v>7153</v>
      </c>
      <c r="N8">
        <v>11177</v>
      </c>
      <c r="O8">
        <v>13522</v>
      </c>
      <c r="P8">
        <v>16678</v>
      </c>
      <c r="Q8">
        <v>19665</v>
      </c>
      <c r="R8">
        <v>22112</v>
      </c>
      <c r="S8">
        <v>24953</v>
      </c>
      <c r="T8">
        <v>27100</v>
      </c>
      <c r="U8">
        <v>29631</v>
      </c>
      <c r="V8">
        <v>31728</v>
      </c>
      <c r="W8">
        <v>33366</v>
      </c>
      <c r="X8">
        <v>33366</v>
      </c>
      <c r="Y8">
        <v>48206</v>
      </c>
      <c r="Z8">
        <v>54406</v>
      </c>
      <c r="AA8">
        <v>56249</v>
      </c>
      <c r="AB8">
        <v>58182</v>
      </c>
      <c r="AC8">
        <v>59989</v>
      </c>
      <c r="AD8">
        <v>61682</v>
      </c>
      <c r="AE8">
        <v>62031</v>
      </c>
      <c r="AF8">
        <v>62442</v>
      </c>
      <c r="AG8">
        <v>62662</v>
      </c>
      <c r="AH8">
        <v>64084</v>
      </c>
      <c r="AI8">
        <v>64084</v>
      </c>
      <c r="AJ8">
        <v>64287</v>
      </c>
      <c r="AK8">
        <v>64786</v>
      </c>
      <c r="AL8">
        <v>65187</v>
      </c>
      <c r="AM8">
        <v>65596</v>
      </c>
      <c r="AN8">
        <v>65914</v>
      </c>
      <c r="AO8">
        <v>66337</v>
      </c>
      <c r="AP8">
        <v>66907</v>
      </c>
      <c r="AQ8">
        <v>67103</v>
      </c>
      <c r="AR8">
        <v>67217</v>
      </c>
      <c r="AS8">
        <v>67332</v>
      </c>
      <c r="AT8">
        <v>67466</v>
      </c>
      <c r="AU8">
        <v>67592</v>
      </c>
      <c r="AV8">
        <v>67666</v>
      </c>
      <c r="AW8">
        <v>67707</v>
      </c>
      <c r="AX8">
        <v>67743</v>
      </c>
      <c r="AY8">
        <v>67760</v>
      </c>
      <c r="AZ8">
        <v>67773</v>
      </c>
      <c r="BA8">
        <v>67781</v>
      </c>
      <c r="BB8">
        <v>67786</v>
      </c>
    </row>
    <row r="9" spans="1:55" hidden="1">
      <c r="A9" t="s">
        <v>92</v>
      </c>
      <c r="B9" t="s">
        <v>157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61</v>
      </c>
      <c r="T9">
        <v>61</v>
      </c>
      <c r="U9">
        <v>64</v>
      </c>
      <c r="V9">
        <v>135</v>
      </c>
      <c r="W9">
        <v>135</v>
      </c>
      <c r="X9">
        <v>175</v>
      </c>
      <c r="Y9">
        <v>175</v>
      </c>
      <c r="Z9">
        <v>218</v>
      </c>
      <c r="AA9">
        <v>285</v>
      </c>
      <c r="AB9">
        <v>355</v>
      </c>
      <c r="AC9">
        <v>454</v>
      </c>
      <c r="AD9">
        <v>542</v>
      </c>
      <c r="AE9">
        <v>621</v>
      </c>
      <c r="AF9">
        <v>634</v>
      </c>
      <c r="AG9">
        <v>638</v>
      </c>
      <c r="AH9">
        <v>641</v>
      </c>
      <c r="AI9">
        <v>698</v>
      </c>
      <c r="AJ9">
        <v>734</v>
      </c>
      <c r="AK9">
        <v>734</v>
      </c>
      <c r="AL9">
        <v>754</v>
      </c>
      <c r="AM9">
        <v>755</v>
      </c>
      <c r="AN9">
        <v>757</v>
      </c>
      <c r="AO9">
        <v>749</v>
      </c>
      <c r="AP9">
        <v>749</v>
      </c>
      <c r="AQ9">
        <v>750</v>
      </c>
      <c r="AR9">
        <v>751</v>
      </c>
      <c r="AS9">
        <v>751</v>
      </c>
      <c r="AT9">
        <v>751</v>
      </c>
      <c r="AU9">
        <v>741</v>
      </c>
      <c r="AV9">
        <v>741</v>
      </c>
      <c r="AW9">
        <v>741</v>
      </c>
      <c r="AX9">
        <v>741</v>
      </c>
      <c r="AY9">
        <v>742</v>
      </c>
      <c r="AZ9">
        <v>742</v>
      </c>
      <c r="BA9">
        <v>742</v>
      </c>
      <c r="BB9">
        <v>742</v>
      </c>
    </row>
    <row r="10" spans="1:55" hidden="1">
      <c r="A10" t="s">
        <v>99</v>
      </c>
      <c r="B10" t="s">
        <v>157</v>
      </c>
      <c r="C10">
        <v>0</v>
      </c>
      <c r="D10">
        <v>0</v>
      </c>
      <c r="E10">
        <v>2</v>
      </c>
      <c r="F10">
        <v>3</v>
      </c>
      <c r="G10">
        <v>3</v>
      </c>
      <c r="H10">
        <v>3</v>
      </c>
      <c r="I10">
        <v>4</v>
      </c>
      <c r="J10">
        <v>5</v>
      </c>
      <c r="K10">
        <v>5</v>
      </c>
      <c r="L10">
        <v>5</v>
      </c>
      <c r="M10">
        <v>6</v>
      </c>
      <c r="N10">
        <v>6</v>
      </c>
      <c r="O10">
        <v>6</v>
      </c>
      <c r="P10">
        <v>6</v>
      </c>
      <c r="Q10">
        <v>6</v>
      </c>
      <c r="R10">
        <v>6</v>
      </c>
      <c r="S10">
        <v>6</v>
      </c>
      <c r="T10">
        <v>11</v>
      </c>
      <c r="U10">
        <v>11</v>
      </c>
      <c r="V10">
        <v>11</v>
      </c>
      <c r="W10">
        <v>11</v>
      </c>
      <c r="X10">
        <v>11</v>
      </c>
      <c r="Y10">
        <v>11</v>
      </c>
      <c r="Z10">
        <v>11</v>
      </c>
      <c r="AA10">
        <v>12</v>
      </c>
      <c r="AB10">
        <v>12</v>
      </c>
      <c r="AC10">
        <v>12</v>
      </c>
      <c r="AD10">
        <v>12</v>
      </c>
      <c r="AE10">
        <v>12</v>
      </c>
      <c r="AF10">
        <v>12</v>
      </c>
      <c r="AG10">
        <v>12</v>
      </c>
      <c r="AH10">
        <v>12</v>
      </c>
      <c r="AI10">
        <v>12</v>
      </c>
      <c r="AJ10">
        <v>12</v>
      </c>
      <c r="AK10">
        <v>14</v>
      </c>
      <c r="AL10">
        <v>18</v>
      </c>
      <c r="AM10">
        <v>38</v>
      </c>
      <c r="AN10">
        <v>57</v>
      </c>
      <c r="AO10">
        <v>100</v>
      </c>
      <c r="AP10">
        <v>130</v>
      </c>
      <c r="AQ10">
        <v>191</v>
      </c>
      <c r="AR10">
        <v>204</v>
      </c>
      <c r="AS10">
        <v>288</v>
      </c>
      <c r="AT10">
        <v>380</v>
      </c>
      <c r="AU10">
        <v>656</v>
      </c>
      <c r="AV10">
        <v>952</v>
      </c>
      <c r="AW10">
        <v>1129</v>
      </c>
      <c r="AX10">
        <v>1212</v>
      </c>
      <c r="AY10">
        <v>1787</v>
      </c>
      <c r="AZ10">
        <v>2284</v>
      </c>
      <c r="BA10">
        <v>2284</v>
      </c>
      <c r="BB10">
        <v>3667</v>
      </c>
    </row>
    <row r="11" spans="1:55" hidden="1">
      <c r="A11" t="s">
        <v>10</v>
      </c>
      <c r="B11" t="s">
        <v>157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>
        <v>4</v>
      </c>
      <c r="J11">
        <v>4</v>
      </c>
      <c r="K11">
        <v>4</v>
      </c>
      <c r="L11">
        <v>5</v>
      </c>
      <c r="M11">
        <v>8</v>
      </c>
      <c r="N11">
        <v>10</v>
      </c>
      <c r="O11">
        <v>12</v>
      </c>
      <c r="P11">
        <v>12</v>
      </c>
      <c r="Q11">
        <v>12</v>
      </c>
      <c r="R11">
        <v>12</v>
      </c>
      <c r="S11">
        <v>13</v>
      </c>
      <c r="T11">
        <v>13</v>
      </c>
      <c r="U11">
        <v>14</v>
      </c>
      <c r="V11">
        <v>14</v>
      </c>
      <c r="W11">
        <v>16</v>
      </c>
      <c r="X11">
        <v>16</v>
      </c>
      <c r="Y11">
        <v>16</v>
      </c>
      <c r="Z11">
        <v>16</v>
      </c>
      <c r="AA11">
        <v>16</v>
      </c>
      <c r="AB11">
        <v>16</v>
      </c>
      <c r="AC11">
        <v>16</v>
      </c>
      <c r="AD11">
        <v>16</v>
      </c>
      <c r="AE11">
        <v>16</v>
      </c>
      <c r="AF11">
        <v>16</v>
      </c>
      <c r="AG11">
        <v>16</v>
      </c>
      <c r="AH11">
        <v>16</v>
      </c>
      <c r="AI11">
        <v>16</v>
      </c>
      <c r="AJ11">
        <v>16</v>
      </c>
      <c r="AK11">
        <v>17</v>
      </c>
      <c r="AL11">
        <v>27</v>
      </c>
      <c r="AM11">
        <v>46</v>
      </c>
      <c r="AN11">
        <v>48</v>
      </c>
      <c r="AO11">
        <v>79</v>
      </c>
      <c r="AP11">
        <v>130</v>
      </c>
      <c r="AQ11">
        <v>159</v>
      </c>
      <c r="AR11">
        <v>196</v>
      </c>
      <c r="AS11">
        <v>262</v>
      </c>
      <c r="AT11">
        <v>482</v>
      </c>
      <c r="AU11">
        <v>670</v>
      </c>
      <c r="AV11">
        <v>799</v>
      </c>
      <c r="AW11">
        <v>1040</v>
      </c>
      <c r="AX11">
        <v>1176</v>
      </c>
      <c r="AY11">
        <v>1457</v>
      </c>
      <c r="AZ11">
        <v>1908</v>
      </c>
      <c r="BA11">
        <v>2078</v>
      </c>
      <c r="BB11">
        <v>3675</v>
      </c>
    </row>
    <row r="12" spans="1:55" hidden="1">
      <c r="A12" t="s">
        <v>34</v>
      </c>
      <c r="B12" t="s">
        <v>157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1</v>
      </c>
      <c r="AM12">
        <v>3</v>
      </c>
      <c r="AN12">
        <v>4</v>
      </c>
      <c r="AO12">
        <v>4</v>
      </c>
      <c r="AP12">
        <v>7</v>
      </c>
      <c r="AQ12">
        <v>7</v>
      </c>
      <c r="AR12">
        <v>7</v>
      </c>
      <c r="AS12">
        <v>9</v>
      </c>
      <c r="AT12">
        <v>31</v>
      </c>
      <c r="AU12">
        <v>45</v>
      </c>
      <c r="AV12">
        <v>46</v>
      </c>
      <c r="AW12">
        <v>73</v>
      </c>
      <c r="AX12">
        <v>73</v>
      </c>
      <c r="AY12">
        <v>89</v>
      </c>
      <c r="AZ12">
        <v>99</v>
      </c>
      <c r="BA12">
        <v>99</v>
      </c>
      <c r="BB12">
        <v>190</v>
      </c>
    </row>
    <row r="13" spans="1:55" hidden="1">
      <c r="A13" t="s">
        <v>42</v>
      </c>
      <c r="B13" t="s">
        <v>157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3</v>
      </c>
      <c r="AQ13">
        <v>6</v>
      </c>
      <c r="AR13">
        <v>11</v>
      </c>
      <c r="AS13">
        <v>26</v>
      </c>
      <c r="AT13">
        <v>34</v>
      </c>
      <c r="AU13">
        <v>43</v>
      </c>
      <c r="AV13">
        <v>50</v>
      </c>
      <c r="AW13">
        <v>50</v>
      </c>
      <c r="AX13">
        <v>58</v>
      </c>
      <c r="AY13">
        <v>69</v>
      </c>
      <c r="AZ13">
        <v>85</v>
      </c>
      <c r="BA13">
        <v>103</v>
      </c>
      <c r="BB13">
        <v>134</v>
      </c>
    </row>
    <row r="14" spans="1:55" hidden="1">
      <c r="A14" t="s">
        <v>14</v>
      </c>
      <c r="B14" t="s">
        <v>157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1</v>
      </c>
      <c r="N14">
        <v>2</v>
      </c>
      <c r="O14">
        <v>3</v>
      </c>
      <c r="P14">
        <v>3</v>
      </c>
      <c r="Q14">
        <v>3</v>
      </c>
      <c r="R14">
        <v>3</v>
      </c>
      <c r="S14">
        <v>3</v>
      </c>
      <c r="T14">
        <v>3</v>
      </c>
      <c r="U14">
        <v>3</v>
      </c>
      <c r="V14">
        <v>3</v>
      </c>
      <c r="W14">
        <v>3</v>
      </c>
      <c r="X14">
        <v>3</v>
      </c>
      <c r="Y14">
        <v>3</v>
      </c>
      <c r="Z14">
        <v>3</v>
      </c>
      <c r="AA14">
        <v>3</v>
      </c>
      <c r="AB14">
        <v>3</v>
      </c>
      <c r="AC14">
        <v>3</v>
      </c>
      <c r="AD14">
        <v>3</v>
      </c>
      <c r="AE14">
        <v>3</v>
      </c>
      <c r="AF14">
        <v>3</v>
      </c>
      <c r="AG14">
        <v>3</v>
      </c>
      <c r="AH14">
        <v>3</v>
      </c>
      <c r="AI14">
        <v>3</v>
      </c>
      <c r="AJ14">
        <v>3</v>
      </c>
      <c r="AK14">
        <v>3</v>
      </c>
      <c r="AL14">
        <v>3</v>
      </c>
      <c r="AM14">
        <v>3</v>
      </c>
      <c r="AN14">
        <v>3</v>
      </c>
      <c r="AO14">
        <v>3</v>
      </c>
      <c r="AP14">
        <v>3</v>
      </c>
      <c r="AQ14">
        <v>5</v>
      </c>
      <c r="AR14">
        <v>5</v>
      </c>
      <c r="AS14">
        <v>28</v>
      </c>
      <c r="AT14">
        <v>30</v>
      </c>
      <c r="AU14">
        <v>31</v>
      </c>
      <c r="AV14">
        <v>34</v>
      </c>
      <c r="AW14">
        <v>39</v>
      </c>
      <c r="AX14">
        <v>43</v>
      </c>
      <c r="AY14">
        <v>56</v>
      </c>
      <c r="AZ14">
        <v>62</v>
      </c>
      <c r="BA14">
        <v>73</v>
      </c>
      <c r="BB14">
        <v>82</v>
      </c>
    </row>
    <row r="15" spans="1:55" hidden="1">
      <c r="A15" t="s">
        <v>97</v>
      </c>
      <c r="B15" t="s">
        <v>157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2</v>
      </c>
      <c r="AF15">
        <v>5</v>
      </c>
      <c r="AG15">
        <v>18</v>
      </c>
      <c r="AH15">
        <v>28</v>
      </c>
      <c r="AI15">
        <v>43</v>
      </c>
      <c r="AJ15">
        <v>61</v>
      </c>
      <c r="AK15">
        <v>95</v>
      </c>
      <c r="AL15">
        <v>139</v>
      </c>
      <c r="AM15">
        <v>245</v>
      </c>
      <c r="AN15">
        <v>388</v>
      </c>
      <c r="AO15">
        <v>593</v>
      </c>
      <c r="AP15">
        <v>978</v>
      </c>
      <c r="AQ15">
        <v>1501</v>
      </c>
      <c r="AR15">
        <v>2336</v>
      </c>
      <c r="AS15">
        <v>2922</v>
      </c>
      <c r="AT15">
        <v>3513</v>
      </c>
      <c r="AU15">
        <v>4747</v>
      </c>
      <c r="AV15">
        <v>5823</v>
      </c>
      <c r="AW15">
        <v>6566</v>
      </c>
      <c r="AX15">
        <v>7161</v>
      </c>
      <c r="AY15">
        <v>8042</v>
      </c>
      <c r="AZ15">
        <v>9000</v>
      </c>
      <c r="BA15">
        <v>10075</v>
      </c>
      <c r="BB15">
        <v>11364</v>
      </c>
    </row>
    <row r="16" spans="1:55" hidden="1">
      <c r="A16" t="s">
        <v>21</v>
      </c>
      <c r="B16" t="s">
        <v>157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1</v>
      </c>
      <c r="AK16">
        <v>1</v>
      </c>
      <c r="AL16">
        <v>5</v>
      </c>
      <c r="AM16">
        <v>7</v>
      </c>
      <c r="AN16">
        <v>7</v>
      </c>
      <c r="AO16">
        <v>13</v>
      </c>
      <c r="AP16">
        <v>19</v>
      </c>
      <c r="AQ16">
        <v>26</v>
      </c>
      <c r="AR16">
        <v>32</v>
      </c>
      <c r="AS16">
        <v>35</v>
      </c>
      <c r="AT16">
        <v>35</v>
      </c>
      <c r="AU16">
        <v>40</v>
      </c>
      <c r="AV16">
        <v>54</v>
      </c>
      <c r="AW16">
        <v>60</v>
      </c>
      <c r="AX16">
        <v>60</v>
      </c>
      <c r="AY16">
        <v>71</v>
      </c>
      <c r="AZ16">
        <v>71</v>
      </c>
      <c r="BA16">
        <v>71</v>
      </c>
      <c r="BB16">
        <v>101</v>
      </c>
    </row>
    <row r="17" spans="1:54" hidden="1">
      <c r="A17" t="s">
        <v>15</v>
      </c>
      <c r="B17" t="s">
        <v>157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20</v>
      </c>
      <c r="AH17">
        <v>62</v>
      </c>
      <c r="AI17">
        <v>155</v>
      </c>
      <c r="AJ17">
        <v>229</v>
      </c>
      <c r="AK17">
        <v>322</v>
      </c>
      <c r="AL17">
        <v>453</v>
      </c>
      <c r="AM17">
        <v>655</v>
      </c>
      <c r="AN17">
        <v>888</v>
      </c>
      <c r="AO17">
        <v>1128</v>
      </c>
      <c r="AP17">
        <v>1694</v>
      </c>
      <c r="AQ17">
        <v>2036</v>
      </c>
      <c r="AR17">
        <v>2502</v>
      </c>
      <c r="AS17">
        <v>3089</v>
      </c>
      <c r="AT17">
        <v>3858</v>
      </c>
      <c r="AU17">
        <v>4636</v>
      </c>
      <c r="AV17">
        <v>5883</v>
      </c>
      <c r="AW17">
        <v>7375</v>
      </c>
      <c r="AX17">
        <v>9172</v>
      </c>
      <c r="AY17">
        <v>10149</v>
      </c>
      <c r="AZ17">
        <v>12462</v>
      </c>
      <c r="BA17">
        <v>12462</v>
      </c>
      <c r="BB17">
        <v>17660</v>
      </c>
    </row>
    <row r="18" spans="1:54" hidden="1">
      <c r="A18" t="s">
        <v>2</v>
      </c>
      <c r="B18" t="s">
        <v>157</v>
      </c>
      <c r="C18">
        <v>2</v>
      </c>
      <c r="D18">
        <v>1</v>
      </c>
      <c r="E18">
        <v>2</v>
      </c>
      <c r="F18">
        <v>2</v>
      </c>
      <c r="G18">
        <v>4</v>
      </c>
      <c r="H18">
        <v>4</v>
      </c>
      <c r="I18">
        <v>7</v>
      </c>
      <c r="J18">
        <v>7</v>
      </c>
      <c r="K18">
        <v>11</v>
      </c>
      <c r="L18">
        <v>15</v>
      </c>
      <c r="M18">
        <v>20</v>
      </c>
      <c r="N18">
        <v>20</v>
      </c>
      <c r="O18">
        <v>20</v>
      </c>
      <c r="P18">
        <v>22</v>
      </c>
      <c r="Q18">
        <v>22</v>
      </c>
      <c r="R18">
        <v>45</v>
      </c>
      <c r="S18">
        <v>25</v>
      </c>
      <c r="T18">
        <v>25</v>
      </c>
      <c r="U18">
        <v>26</v>
      </c>
      <c r="V18">
        <v>26</v>
      </c>
      <c r="W18">
        <v>26</v>
      </c>
      <c r="X18">
        <v>28</v>
      </c>
      <c r="Y18">
        <v>28</v>
      </c>
      <c r="Z18">
        <v>29</v>
      </c>
      <c r="AA18">
        <v>43</v>
      </c>
      <c r="AB18">
        <v>59</v>
      </c>
      <c r="AC18">
        <v>66</v>
      </c>
      <c r="AD18">
        <v>74</v>
      </c>
      <c r="AE18">
        <v>84</v>
      </c>
      <c r="AF18">
        <v>94</v>
      </c>
      <c r="AG18">
        <v>105</v>
      </c>
      <c r="AH18">
        <v>122</v>
      </c>
      <c r="AI18">
        <v>147</v>
      </c>
      <c r="AJ18">
        <v>159</v>
      </c>
      <c r="AK18">
        <v>170</v>
      </c>
      <c r="AL18">
        <v>189</v>
      </c>
      <c r="AM18">
        <v>214</v>
      </c>
      <c r="AN18">
        <v>228</v>
      </c>
      <c r="AO18">
        <v>241</v>
      </c>
      <c r="AP18">
        <v>256</v>
      </c>
      <c r="AQ18">
        <v>274</v>
      </c>
      <c r="AR18">
        <v>293</v>
      </c>
      <c r="AS18">
        <v>331</v>
      </c>
      <c r="AT18">
        <v>360</v>
      </c>
      <c r="AU18">
        <v>420</v>
      </c>
      <c r="AV18">
        <v>461</v>
      </c>
      <c r="AW18">
        <v>502</v>
      </c>
      <c r="AX18">
        <v>511</v>
      </c>
      <c r="AY18">
        <v>581</v>
      </c>
      <c r="AZ18">
        <v>639</v>
      </c>
      <c r="BA18">
        <v>639</v>
      </c>
      <c r="BB18">
        <v>701</v>
      </c>
    </row>
    <row r="19" spans="1:54" hidden="1">
      <c r="A19" t="s">
        <v>98</v>
      </c>
      <c r="B19" t="s">
        <v>157</v>
      </c>
      <c r="C19">
        <v>1</v>
      </c>
      <c r="D19">
        <v>1</v>
      </c>
      <c r="E19">
        <v>2</v>
      </c>
      <c r="F19">
        <v>2</v>
      </c>
      <c r="G19">
        <v>3</v>
      </c>
      <c r="H19">
        <v>4</v>
      </c>
      <c r="I19">
        <v>4</v>
      </c>
      <c r="J19">
        <v>4</v>
      </c>
      <c r="K19">
        <v>4</v>
      </c>
      <c r="L19">
        <v>11</v>
      </c>
      <c r="M19">
        <v>12</v>
      </c>
      <c r="N19">
        <v>15</v>
      </c>
      <c r="O19">
        <v>15</v>
      </c>
      <c r="P19">
        <v>16</v>
      </c>
      <c r="Q19">
        <v>19</v>
      </c>
      <c r="R19">
        <v>23</v>
      </c>
      <c r="S19">
        <v>24</v>
      </c>
      <c r="T19">
        <v>24</v>
      </c>
      <c r="U19">
        <v>25</v>
      </c>
      <c r="V19">
        <v>27</v>
      </c>
      <c r="W19">
        <v>28</v>
      </c>
      <c r="X19">
        <v>28</v>
      </c>
      <c r="Y19">
        <v>28</v>
      </c>
      <c r="Z19">
        <v>28</v>
      </c>
      <c r="AA19">
        <v>28</v>
      </c>
      <c r="AB19">
        <v>29</v>
      </c>
      <c r="AC19">
        <v>30</v>
      </c>
      <c r="AD19">
        <v>31</v>
      </c>
      <c r="AE19">
        <v>31</v>
      </c>
      <c r="AF19">
        <v>104</v>
      </c>
      <c r="AG19">
        <v>204</v>
      </c>
      <c r="AH19">
        <v>433</v>
      </c>
      <c r="AI19">
        <v>602</v>
      </c>
      <c r="AJ19">
        <v>833</v>
      </c>
      <c r="AK19">
        <v>977</v>
      </c>
      <c r="AL19">
        <v>1261</v>
      </c>
      <c r="AM19">
        <v>1766</v>
      </c>
      <c r="AN19">
        <v>2337</v>
      </c>
      <c r="AO19">
        <v>3150</v>
      </c>
      <c r="AP19">
        <v>3736</v>
      </c>
      <c r="AQ19">
        <v>4335</v>
      </c>
      <c r="AR19">
        <v>5186</v>
      </c>
      <c r="AS19">
        <v>5621</v>
      </c>
      <c r="AT19">
        <v>6088</v>
      </c>
      <c r="AU19">
        <v>6593</v>
      </c>
      <c r="AV19">
        <v>7041</v>
      </c>
      <c r="AW19">
        <v>7314</v>
      </c>
      <c r="AX19">
        <v>7478</v>
      </c>
      <c r="AY19">
        <v>7513</v>
      </c>
      <c r="AZ19">
        <v>7755</v>
      </c>
      <c r="BA19">
        <v>7869</v>
      </c>
      <c r="BB19">
        <v>7979</v>
      </c>
    </row>
    <row r="20" spans="1:54" hidden="1">
      <c r="A20" t="s">
        <v>25</v>
      </c>
      <c r="B20" t="s">
        <v>157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11</v>
      </c>
      <c r="AL20">
        <v>26</v>
      </c>
      <c r="AM20">
        <v>43</v>
      </c>
      <c r="AN20">
        <v>45</v>
      </c>
      <c r="AO20">
        <v>45</v>
      </c>
      <c r="AP20">
        <v>45</v>
      </c>
      <c r="AQ20">
        <v>56</v>
      </c>
      <c r="AR20">
        <v>56</v>
      </c>
      <c r="AS20">
        <v>56</v>
      </c>
      <c r="AT20">
        <v>58</v>
      </c>
      <c r="AU20">
        <v>58</v>
      </c>
      <c r="AV20">
        <v>61</v>
      </c>
      <c r="AW20">
        <v>64</v>
      </c>
      <c r="AX20">
        <v>64</v>
      </c>
      <c r="AY20">
        <v>69</v>
      </c>
      <c r="AZ20">
        <v>72</v>
      </c>
      <c r="BA20">
        <v>80</v>
      </c>
      <c r="BB20">
        <v>80</v>
      </c>
    </row>
    <row r="21" spans="1:54" hidden="1">
      <c r="A21" t="s">
        <v>5</v>
      </c>
      <c r="B21" t="s">
        <v>157</v>
      </c>
      <c r="C21">
        <v>0</v>
      </c>
      <c r="D21">
        <v>0</v>
      </c>
      <c r="E21">
        <v>0</v>
      </c>
      <c r="F21">
        <v>3</v>
      </c>
      <c r="G21">
        <v>4</v>
      </c>
      <c r="H21">
        <v>4</v>
      </c>
      <c r="I21">
        <v>4</v>
      </c>
      <c r="J21">
        <v>7</v>
      </c>
      <c r="K21">
        <v>8</v>
      </c>
      <c r="L21">
        <v>8</v>
      </c>
      <c r="M21">
        <v>8</v>
      </c>
      <c r="N21">
        <v>8</v>
      </c>
      <c r="O21">
        <v>8</v>
      </c>
      <c r="P21">
        <v>10</v>
      </c>
      <c r="Q21">
        <v>12</v>
      </c>
      <c r="R21">
        <v>12</v>
      </c>
      <c r="S21">
        <v>12</v>
      </c>
      <c r="T21">
        <v>16</v>
      </c>
      <c r="U21">
        <v>16</v>
      </c>
      <c r="V21">
        <v>18</v>
      </c>
      <c r="W21">
        <v>18</v>
      </c>
      <c r="X21">
        <v>18</v>
      </c>
      <c r="Y21">
        <v>19</v>
      </c>
      <c r="Z21">
        <v>19</v>
      </c>
      <c r="AA21">
        <v>22</v>
      </c>
      <c r="AB21">
        <v>22</v>
      </c>
      <c r="AC21">
        <v>22</v>
      </c>
      <c r="AD21">
        <v>22</v>
      </c>
      <c r="AE21">
        <v>22</v>
      </c>
      <c r="AF21">
        <v>22</v>
      </c>
      <c r="AG21">
        <v>22</v>
      </c>
      <c r="AH21">
        <v>22</v>
      </c>
      <c r="AI21">
        <v>22</v>
      </c>
      <c r="AJ21">
        <v>22</v>
      </c>
      <c r="AK21">
        <v>22</v>
      </c>
      <c r="AL21">
        <v>22</v>
      </c>
      <c r="AM21">
        <v>23</v>
      </c>
      <c r="AN21">
        <v>23</v>
      </c>
      <c r="AO21">
        <v>25</v>
      </c>
      <c r="AP21">
        <v>29</v>
      </c>
      <c r="AQ21">
        <v>29</v>
      </c>
      <c r="AR21">
        <v>36</v>
      </c>
      <c r="AS21">
        <v>50</v>
      </c>
      <c r="AT21">
        <v>50</v>
      </c>
      <c r="AU21">
        <v>83</v>
      </c>
      <c r="AV21">
        <v>93</v>
      </c>
      <c r="AW21">
        <v>99</v>
      </c>
      <c r="AX21">
        <v>117</v>
      </c>
      <c r="AY21">
        <v>129</v>
      </c>
      <c r="AZ21">
        <v>149</v>
      </c>
      <c r="BA21">
        <v>149</v>
      </c>
      <c r="BB21">
        <v>197</v>
      </c>
    </row>
    <row r="22" spans="1:54" hidden="1">
      <c r="A22" t="s">
        <v>39</v>
      </c>
      <c r="B22" t="s">
        <v>157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1</v>
      </c>
      <c r="AN22">
        <v>1</v>
      </c>
      <c r="AO22">
        <v>6</v>
      </c>
      <c r="AP22">
        <v>10</v>
      </c>
      <c r="AQ22">
        <v>18</v>
      </c>
      <c r="AR22">
        <v>24</v>
      </c>
      <c r="AS22">
        <v>38</v>
      </c>
      <c r="AT22">
        <v>82</v>
      </c>
      <c r="AU22">
        <v>128</v>
      </c>
      <c r="AV22">
        <v>188</v>
      </c>
      <c r="AW22">
        <v>265</v>
      </c>
      <c r="AX22">
        <v>321</v>
      </c>
      <c r="AY22">
        <v>382</v>
      </c>
      <c r="AZ22">
        <v>503</v>
      </c>
      <c r="BA22">
        <v>503</v>
      </c>
      <c r="BB22">
        <v>804</v>
      </c>
    </row>
    <row r="23" spans="1:54" hidden="1">
      <c r="A23" t="s">
        <v>36</v>
      </c>
      <c r="B23" t="s">
        <v>157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1</v>
      </c>
      <c r="AM23">
        <v>1</v>
      </c>
      <c r="AN23">
        <v>6</v>
      </c>
      <c r="AO23">
        <v>15</v>
      </c>
      <c r="AP23">
        <v>19</v>
      </c>
      <c r="AQ23">
        <v>25</v>
      </c>
      <c r="AR23">
        <v>32</v>
      </c>
      <c r="AS23">
        <v>56</v>
      </c>
      <c r="AT23">
        <v>87</v>
      </c>
      <c r="AU23">
        <v>108</v>
      </c>
      <c r="AV23">
        <v>147</v>
      </c>
      <c r="AW23">
        <v>176</v>
      </c>
      <c r="AX23">
        <v>205</v>
      </c>
      <c r="AY23">
        <v>400</v>
      </c>
      <c r="AZ23">
        <v>598</v>
      </c>
      <c r="BA23">
        <v>702</v>
      </c>
      <c r="BB23">
        <v>996</v>
      </c>
    </row>
    <row r="24" spans="1:54" hidden="1">
      <c r="A24" t="s">
        <v>40</v>
      </c>
      <c r="B24" t="s">
        <v>157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1</v>
      </c>
      <c r="AN24">
        <v>1</v>
      </c>
      <c r="AO24">
        <v>1</v>
      </c>
      <c r="AP24">
        <v>1</v>
      </c>
      <c r="AQ24">
        <v>8</v>
      </c>
      <c r="AR24">
        <v>10</v>
      </c>
      <c r="AS24">
        <v>16</v>
      </c>
      <c r="AT24">
        <v>21</v>
      </c>
      <c r="AU24">
        <v>21</v>
      </c>
      <c r="AV24">
        <v>23</v>
      </c>
      <c r="AW24">
        <v>36</v>
      </c>
      <c r="AX24">
        <v>36</v>
      </c>
      <c r="AY24">
        <v>51</v>
      </c>
      <c r="AZ24">
        <v>62</v>
      </c>
      <c r="BA24">
        <v>69</v>
      </c>
      <c r="BB24">
        <v>80</v>
      </c>
    </row>
    <row r="25" spans="1:54" hidden="1">
      <c r="A25" t="s">
        <v>3</v>
      </c>
      <c r="B25" t="s">
        <v>157</v>
      </c>
      <c r="C25">
        <v>0</v>
      </c>
      <c r="D25">
        <v>1</v>
      </c>
      <c r="E25">
        <v>3</v>
      </c>
      <c r="F25">
        <v>3</v>
      </c>
      <c r="G25">
        <v>4</v>
      </c>
      <c r="H25">
        <v>5</v>
      </c>
      <c r="I25">
        <v>7</v>
      </c>
      <c r="J25">
        <v>7</v>
      </c>
      <c r="K25">
        <v>10</v>
      </c>
      <c r="L25">
        <v>13</v>
      </c>
      <c r="M25">
        <v>16</v>
      </c>
      <c r="N25">
        <v>18</v>
      </c>
      <c r="O25">
        <v>18</v>
      </c>
      <c r="P25">
        <v>24</v>
      </c>
      <c r="Q25">
        <v>28</v>
      </c>
      <c r="R25">
        <v>28</v>
      </c>
      <c r="S25">
        <v>30</v>
      </c>
      <c r="T25">
        <v>33</v>
      </c>
      <c r="U25">
        <v>40</v>
      </c>
      <c r="V25">
        <v>45</v>
      </c>
      <c r="W25">
        <v>47</v>
      </c>
      <c r="X25">
        <v>50</v>
      </c>
      <c r="Y25">
        <v>58</v>
      </c>
      <c r="Z25">
        <v>67</v>
      </c>
      <c r="AA25">
        <v>72</v>
      </c>
      <c r="AB25">
        <v>75</v>
      </c>
      <c r="AC25">
        <v>77</v>
      </c>
      <c r="AD25">
        <v>81</v>
      </c>
      <c r="AE25">
        <v>84</v>
      </c>
      <c r="AF25">
        <v>84</v>
      </c>
      <c r="AG25">
        <v>85</v>
      </c>
      <c r="AH25">
        <v>85</v>
      </c>
      <c r="AI25">
        <v>89</v>
      </c>
      <c r="AJ25">
        <v>89</v>
      </c>
      <c r="AK25">
        <v>91</v>
      </c>
      <c r="AL25">
        <v>93</v>
      </c>
      <c r="AM25">
        <v>93</v>
      </c>
      <c r="AN25">
        <v>93</v>
      </c>
      <c r="AO25">
        <v>102</v>
      </c>
      <c r="AP25">
        <v>106</v>
      </c>
      <c r="AQ25">
        <v>108</v>
      </c>
      <c r="AR25">
        <v>110</v>
      </c>
      <c r="AS25">
        <v>110</v>
      </c>
      <c r="AT25">
        <v>117</v>
      </c>
      <c r="AU25">
        <v>130</v>
      </c>
      <c r="AV25">
        <v>138</v>
      </c>
      <c r="AW25">
        <v>150</v>
      </c>
      <c r="AX25">
        <v>150</v>
      </c>
      <c r="AY25">
        <v>160</v>
      </c>
      <c r="AZ25">
        <v>178</v>
      </c>
      <c r="BA25">
        <v>178</v>
      </c>
      <c r="BB25">
        <v>200</v>
      </c>
    </row>
    <row r="26" spans="1:54" hidden="1">
      <c r="A26" t="s">
        <v>17</v>
      </c>
      <c r="B26" t="s">
        <v>157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6</v>
      </c>
      <c r="AL26">
        <v>13</v>
      </c>
      <c r="AM26">
        <v>15</v>
      </c>
      <c r="AN26">
        <v>32</v>
      </c>
      <c r="AO26">
        <v>45</v>
      </c>
      <c r="AP26">
        <v>84</v>
      </c>
      <c r="AQ26">
        <v>120</v>
      </c>
      <c r="AR26">
        <v>165</v>
      </c>
      <c r="AS26">
        <v>222</v>
      </c>
      <c r="AT26">
        <v>259</v>
      </c>
      <c r="AU26">
        <v>400</v>
      </c>
      <c r="AV26">
        <v>500</v>
      </c>
      <c r="AW26">
        <v>673</v>
      </c>
      <c r="AX26">
        <v>1073</v>
      </c>
      <c r="AY26">
        <v>1695</v>
      </c>
      <c r="AZ26">
        <v>2277</v>
      </c>
      <c r="BA26">
        <v>2277</v>
      </c>
      <c r="BB26">
        <v>5232</v>
      </c>
    </row>
    <row r="27" spans="1:54" hidden="1">
      <c r="A27" t="s">
        <v>16</v>
      </c>
      <c r="B27" t="s">
        <v>157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2</v>
      </c>
      <c r="AM27">
        <v>7</v>
      </c>
      <c r="AN27">
        <v>7</v>
      </c>
      <c r="AO27">
        <v>12</v>
      </c>
      <c r="AP27">
        <v>14</v>
      </c>
      <c r="AQ27">
        <v>15</v>
      </c>
      <c r="AR27">
        <v>21</v>
      </c>
      <c r="AS27">
        <v>35</v>
      </c>
      <c r="AT27">
        <v>94</v>
      </c>
      <c r="AU27">
        <v>101</v>
      </c>
      <c r="AV27">
        <v>161</v>
      </c>
      <c r="AW27">
        <v>203</v>
      </c>
      <c r="AX27">
        <v>248</v>
      </c>
      <c r="AY27">
        <v>355</v>
      </c>
      <c r="AZ27">
        <v>500</v>
      </c>
      <c r="BA27">
        <v>599</v>
      </c>
      <c r="BB27">
        <v>814</v>
      </c>
    </row>
    <row r="28" spans="1:54" hidden="1">
      <c r="A28" t="s">
        <v>28</v>
      </c>
      <c r="B28" t="s">
        <v>157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1</v>
      </c>
      <c r="AL28">
        <v>1</v>
      </c>
      <c r="AM28">
        <v>8</v>
      </c>
      <c r="AN28">
        <v>8</v>
      </c>
      <c r="AO28">
        <v>18</v>
      </c>
      <c r="AP28">
        <v>27</v>
      </c>
      <c r="AQ28">
        <v>42</v>
      </c>
      <c r="AR28">
        <v>56</v>
      </c>
      <c r="AS28">
        <v>90</v>
      </c>
      <c r="AT28">
        <v>114</v>
      </c>
      <c r="AU28">
        <v>214</v>
      </c>
      <c r="AV28">
        <v>268</v>
      </c>
      <c r="AW28">
        <v>337</v>
      </c>
      <c r="AX28">
        <v>374</v>
      </c>
      <c r="AY28">
        <v>491</v>
      </c>
      <c r="AZ28">
        <v>652</v>
      </c>
      <c r="BA28">
        <v>652</v>
      </c>
      <c r="BB28">
        <v>1139</v>
      </c>
    </row>
    <row r="29" spans="1:54" hidden="1">
      <c r="A29" t="s">
        <v>122</v>
      </c>
      <c r="B29" t="s">
        <v>157</v>
      </c>
      <c r="C29">
        <v>1</v>
      </c>
      <c r="D29">
        <v>1</v>
      </c>
      <c r="E29">
        <v>3</v>
      </c>
      <c r="F29">
        <v>3</v>
      </c>
      <c r="G29">
        <v>4</v>
      </c>
      <c r="H29">
        <v>5</v>
      </c>
      <c r="I29">
        <v>8</v>
      </c>
      <c r="J29">
        <v>8</v>
      </c>
      <c r="K29">
        <v>9</v>
      </c>
      <c r="L29">
        <v>10</v>
      </c>
      <c r="M29">
        <v>10</v>
      </c>
      <c r="N29">
        <v>10</v>
      </c>
      <c r="O29">
        <v>10</v>
      </c>
      <c r="P29">
        <v>11</v>
      </c>
      <c r="Q29">
        <v>11</v>
      </c>
      <c r="R29">
        <v>16</v>
      </c>
      <c r="S29">
        <v>16</v>
      </c>
      <c r="T29">
        <v>17</v>
      </c>
      <c r="U29">
        <v>18</v>
      </c>
      <c r="V29">
        <v>18</v>
      </c>
      <c r="W29">
        <v>18</v>
      </c>
      <c r="X29">
        <v>18</v>
      </c>
      <c r="Y29">
        <v>18</v>
      </c>
      <c r="Z29">
        <v>18</v>
      </c>
      <c r="AA29">
        <v>18</v>
      </c>
      <c r="AB29">
        <v>20</v>
      </c>
      <c r="AC29">
        <v>22</v>
      </c>
      <c r="AD29">
        <v>22</v>
      </c>
      <c r="AE29">
        <v>23</v>
      </c>
      <c r="AF29">
        <v>24</v>
      </c>
      <c r="AG29">
        <v>26</v>
      </c>
      <c r="AH29">
        <v>26</v>
      </c>
      <c r="AI29">
        <v>28</v>
      </c>
      <c r="AJ29">
        <v>30</v>
      </c>
      <c r="AK29">
        <v>31</v>
      </c>
      <c r="AL29">
        <v>32</v>
      </c>
      <c r="AM29">
        <v>32</v>
      </c>
      <c r="AN29">
        <v>34</v>
      </c>
      <c r="AO29">
        <v>39</v>
      </c>
      <c r="AP29">
        <v>40</v>
      </c>
      <c r="AQ29">
        <v>41</v>
      </c>
      <c r="AR29">
        <v>42</v>
      </c>
      <c r="AS29">
        <v>42</v>
      </c>
      <c r="AT29">
        <v>44</v>
      </c>
      <c r="AU29">
        <v>45</v>
      </c>
      <c r="AV29">
        <v>45</v>
      </c>
      <c r="AW29">
        <v>45</v>
      </c>
      <c r="AX29">
        <v>45</v>
      </c>
      <c r="AY29">
        <v>47</v>
      </c>
      <c r="AZ29">
        <v>48</v>
      </c>
      <c r="BA29">
        <v>49</v>
      </c>
      <c r="BB29">
        <v>50</v>
      </c>
    </row>
    <row r="30" spans="1:54" hidden="1">
      <c r="A30" t="s">
        <v>1</v>
      </c>
      <c r="B30" t="s">
        <v>157</v>
      </c>
      <c r="C30">
        <v>2</v>
      </c>
      <c r="D30">
        <v>3</v>
      </c>
      <c r="E30">
        <v>5</v>
      </c>
      <c r="F30">
        <v>7</v>
      </c>
      <c r="G30">
        <v>8</v>
      </c>
      <c r="H30">
        <v>8</v>
      </c>
      <c r="I30">
        <v>14</v>
      </c>
      <c r="J30">
        <v>14</v>
      </c>
      <c r="K30">
        <v>14</v>
      </c>
      <c r="L30">
        <v>19</v>
      </c>
      <c r="M30">
        <v>19</v>
      </c>
      <c r="N30">
        <v>19</v>
      </c>
      <c r="O30">
        <v>19</v>
      </c>
      <c r="P30">
        <v>25</v>
      </c>
      <c r="Q30">
        <v>25</v>
      </c>
      <c r="R30">
        <v>25</v>
      </c>
      <c r="S30">
        <v>25</v>
      </c>
      <c r="T30">
        <v>32</v>
      </c>
      <c r="U30">
        <v>32</v>
      </c>
      <c r="V30">
        <v>32</v>
      </c>
      <c r="W30">
        <v>33</v>
      </c>
      <c r="X30">
        <v>33</v>
      </c>
      <c r="Y30">
        <v>33</v>
      </c>
      <c r="Z30">
        <v>33</v>
      </c>
      <c r="AA30">
        <v>33</v>
      </c>
      <c r="AB30">
        <v>34</v>
      </c>
      <c r="AC30">
        <v>35</v>
      </c>
      <c r="AD30">
        <v>35</v>
      </c>
      <c r="AE30">
        <v>35</v>
      </c>
      <c r="AF30">
        <v>35</v>
      </c>
      <c r="AG30">
        <v>35</v>
      </c>
      <c r="AH30">
        <v>35</v>
      </c>
      <c r="AI30">
        <v>35</v>
      </c>
      <c r="AJ30">
        <v>35</v>
      </c>
      <c r="AK30">
        <v>37</v>
      </c>
      <c r="AL30">
        <v>40</v>
      </c>
      <c r="AM30">
        <v>40</v>
      </c>
      <c r="AN30">
        <v>41</v>
      </c>
      <c r="AO30">
        <v>42</v>
      </c>
      <c r="AP30">
        <v>42</v>
      </c>
      <c r="AQ30">
        <v>43</v>
      </c>
      <c r="AR30">
        <v>43</v>
      </c>
      <c r="AS30">
        <v>43</v>
      </c>
      <c r="AT30">
        <v>47</v>
      </c>
      <c r="AU30">
        <v>48</v>
      </c>
      <c r="AV30">
        <v>50</v>
      </c>
      <c r="AW30">
        <v>50</v>
      </c>
      <c r="AX30">
        <v>50</v>
      </c>
      <c r="AY30">
        <v>53</v>
      </c>
      <c r="AZ30">
        <v>59</v>
      </c>
      <c r="BA30">
        <v>70</v>
      </c>
      <c r="BB30">
        <v>75</v>
      </c>
    </row>
    <row r="31" spans="1:54">
      <c r="A31" t="s">
        <v>100</v>
      </c>
      <c r="B31" t="s">
        <v>157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3</v>
      </c>
      <c r="T31">
        <v>3</v>
      </c>
      <c r="U31">
        <v>3</v>
      </c>
      <c r="V31">
        <v>8</v>
      </c>
      <c r="W31">
        <v>8</v>
      </c>
      <c r="X31">
        <v>9</v>
      </c>
      <c r="Y31">
        <v>9</v>
      </c>
      <c r="Z31">
        <v>9</v>
      </c>
      <c r="AA31">
        <v>9</v>
      </c>
      <c r="AB31">
        <v>9</v>
      </c>
      <c r="AC31">
        <v>9</v>
      </c>
      <c r="AD31">
        <v>9</v>
      </c>
      <c r="AE31">
        <v>9</v>
      </c>
      <c r="AF31">
        <v>9</v>
      </c>
      <c r="AG31">
        <v>9</v>
      </c>
      <c r="AH31">
        <v>9</v>
      </c>
      <c r="AI31">
        <v>9</v>
      </c>
      <c r="AJ31">
        <v>13</v>
      </c>
      <c r="AK31">
        <v>13</v>
      </c>
      <c r="AL31">
        <v>13</v>
      </c>
      <c r="AM31">
        <v>15</v>
      </c>
      <c r="AN31">
        <v>20</v>
      </c>
      <c r="AO31">
        <v>23</v>
      </c>
      <c r="AP31">
        <v>36</v>
      </c>
      <c r="AQ31">
        <v>40</v>
      </c>
      <c r="AR31">
        <v>51</v>
      </c>
      <c r="AS31">
        <v>86</v>
      </c>
      <c r="AT31">
        <v>116</v>
      </c>
      <c r="AU31">
        <v>164</v>
      </c>
      <c r="AV31">
        <v>207</v>
      </c>
      <c r="AW31">
        <v>274</v>
      </c>
      <c r="AX31">
        <v>322</v>
      </c>
      <c r="AY31">
        <v>384</v>
      </c>
      <c r="AZ31">
        <v>459</v>
      </c>
      <c r="BA31">
        <v>459</v>
      </c>
      <c r="BB31">
        <v>801</v>
      </c>
    </row>
    <row r="32" spans="1:54" hidden="1">
      <c r="A32" t="s">
        <v>124</v>
      </c>
      <c r="B32" t="s">
        <v>157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4</v>
      </c>
      <c r="K32">
        <v>4</v>
      </c>
      <c r="L32">
        <v>4</v>
      </c>
      <c r="M32">
        <v>4</v>
      </c>
      <c r="N32">
        <v>5</v>
      </c>
      <c r="O32">
        <v>5</v>
      </c>
      <c r="P32">
        <v>5</v>
      </c>
      <c r="Q32">
        <v>5</v>
      </c>
      <c r="R32">
        <v>5</v>
      </c>
      <c r="S32">
        <v>5</v>
      </c>
      <c r="T32">
        <v>7</v>
      </c>
      <c r="U32">
        <v>7</v>
      </c>
      <c r="V32">
        <v>8</v>
      </c>
      <c r="W32">
        <v>8</v>
      </c>
      <c r="X32">
        <v>8</v>
      </c>
      <c r="Y32">
        <v>8</v>
      </c>
      <c r="Z32">
        <v>8</v>
      </c>
      <c r="AA32">
        <v>8</v>
      </c>
      <c r="AB32">
        <v>9</v>
      </c>
      <c r="AC32">
        <v>9</v>
      </c>
      <c r="AD32">
        <v>9</v>
      </c>
      <c r="AE32">
        <v>9</v>
      </c>
      <c r="AF32">
        <v>9</v>
      </c>
      <c r="AG32">
        <v>9</v>
      </c>
      <c r="AH32">
        <v>13</v>
      </c>
      <c r="AI32">
        <v>13</v>
      </c>
      <c r="AJ32">
        <v>13</v>
      </c>
      <c r="AK32">
        <v>13</v>
      </c>
      <c r="AL32">
        <v>13</v>
      </c>
      <c r="AM32">
        <v>13</v>
      </c>
      <c r="AN32">
        <v>19</v>
      </c>
      <c r="AO32">
        <v>21</v>
      </c>
      <c r="AP32">
        <v>21</v>
      </c>
      <c r="AQ32">
        <v>21</v>
      </c>
      <c r="AR32">
        <v>27</v>
      </c>
      <c r="AS32">
        <v>27</v>
      </c>
      <c r="AT32">
        <v>29</v>
      </c>
      <c r="AU32">
        <v>29</v>
      </c>
      <c r="AV32">
        <v>45</v>
      </c>
      <c r="AW32">
        <v>45</v>
      </c>
      <c r="AX32">
        <v>45</v>
      </c>
      <c r="AY32">
        <v>74</v>
      </c>
      <c r="AZ32">
        <v>74</v>
      </c>
      <c r="BA32">
        <v>85</v>
      </c>
      <c r="BB32">
        <v>85</v>
      </c>
    </row>
    <row r="33" spans="1:55" hidden="1">
      <c r="A33" t="s">
        <v>91</v>
      </c>
      <c r="B33" t="s">
        <v>157</v>
      </c>
      <c r="C33">
        <v>1</v>
      </c>
      <c r="D33">
        <v>1</v>
      </c>
      <c r="E33">
        <v>2</v>
      </c>
      <c r="F33">
        <v>2</v>
      </c>
      <c r="G33">
        <v>5</v>
      </c>
      <c r="H33">
        <v>5</v>
      </c>
      <c r="I33">
        <v>5</v>
      </c>
      <c r="J33">
        <v>5</v>
      </c>
      <c r="K33">
        <v>5</v>
      </c>
      <c r="L33">
        <v>7</v>
      </c>
      <c r="M33">
        <v>8</v>
      </c>
      <c r="N33">
        <v>8</v>
      </c>
      <c r="O33">
        <v>11</v>
      </c>
      <c r="P33">
        <v>11</v>
      </c>
      <c r="Q33">
        <v>11</v>
      </c>
      <c r="R33">
        <v>11</v>
      </c>
      <c r="S33">
        <v>11</v>
      </c>
      <c r="T33">
        <v>11</v>
      </c>
      <c r="U33">
        <v>11</v>
      </c>
      <c r="V33">
        <v>11</v>
      </c>
      <c r="W33">
        <v>12</v>
      </c>
      <c r="X33">
        <v>12</v>
      </c>
      <c r="Y33">
        <v>13</v>
      </c>
      <c r="Z33">
        <v>13</v>
      </c>
      <c r="AA33">
        <v>13</v>
      </c>
      <c r="AB33">
        <v>13</v>
      </c>
      <c r="AC33">
        <v>13</v>
      </c>
      <c r="AD33">
        <v>13</v>
      </c>
      <c r="AE33">
        <v>13</v>
      </c>
      <c r="AF33">
        <v>13</v>
      </c>
      <c r="AG33">
        <v>15</v>
      </c>
      <c r="AH33">
        <v>15</v>
      </c>
      <c r="AI33">
        <v>15</v>
      </c>
      <c r="AJ33">
        <v>15</v>
      </c>
      <c r="AK33">
        <v>15</v>
      </c>
      <c r="AL33">
        <v>15</v>
      </c>
      <c r="AM33">
        <v>16</v>
      </c>
      <c r="AN33">
        <v>16</v>
      </c>
      <c r="AO33">
        <v>24</v>
      </c>
      <c r="AP33">
        <v>30</v>
      </c>
      <c r="AQ33">
        <v>53</v>
      </c>
      <c r="AR33">
        <v>73</v>
      </c>
      <c r="AS33">
        <v>104</v>
      </c>
      <c r="AT33">
        <v>172</v>
      </c>
      <c r="AU33">
        <v>217</v>
      </c>
      <c r="AV33">
        <v>357</v>
      </c>
      <c r="AW33">
        <v>473</v>
      </c>
      <c r="AX33">
        <v>538</v>
      </c>
      <c r="AY33">
        <v>913</v>
      </c>
      <c r="AZ33">
        <v>1235</v>
      </c>
      <c r="BA33">
        <v>1617</v>
      </c>
      <c r="BB33">
        <v>2133</v>
      </c>
    </row>
    <row r="34" spans="1:55" hidden="1">
      <c r="A34" t="s">
        <v>7</v>
      </c>
      <c r="B34" t="s">
        <v>150</v>
      </c>
      <c r="AV34">
        <v>63</v>
      </c>
      <c r="AW34">
        <v>66.150000000000006</v>
      </c>
      <c r="AX34">
        <v>69.45750000000001</v>
      </c>
      <c r="AY34">
        <v>72.930375000000012</v>
      </c>
      <c r="AZ34">
        <v>76.576893750000011</v>
      </c>
      <c r="BA34">
        <v>80.40573843750002</v>
      </c>
      <c r="BB34">
        <v>84.426025359375018</v>
      </c>
      <c r="BC34">
        <v>88.647326627343773</v>
      </c>
    </row>
    <row r="35" spans="1:55" hidden="1">
      <c r="A35" t="s">
        <v>29</v>
      </c>
      <c r="B35" t="s">
        <v>150</v>
      </c>
      <c r="AV35">
        <v>79</v>
      </c>
      <c r="AW35">
        <v>113.47272727272727</v>
      </c>
      <c r="AX35">
        <v>162.98809917355371</v>
      </c>
      <c r="AY35">
        <v>234.11017881292258</v>
      </c>
      <c r="AZ35">
        <v>336.26734774947062</v>
      </c>
      <c r="BA35">
        <v>483.00219040378505</v>
      </c>
      <c r="BB35">
        <v>693.76678257998208</v>
      </c>
      <c r="BC35">
        <v>996.50137861488327</v>
      </c>
    </row>
    <row r="36" spans="1:55" hidden="1">
      <c r="A36" t="s">
        <v>24</v>
      </c>
      <c r="B36" t="s">
        <v>150</v>
      </c>
      <c r="AV36">
        <v>85</v>
      </c>
      <c r="AW36">
        <v>120.41666666666667</v>
      </c>
      <c r="AX36">
        <v>170.5902777777778</v>
      </c>
      <c r="AY36">
        <v>241.66956018518522</v>
      </c>
      <c r="AZ36">
        <v>342.36521026234573</v>
      </c>
      <c r="BA36">
        <v>485.01738120498982</v>
      </c>
      <c r="BB36">
        <v>687.10795670706898</v>
      </c>
      <c r="BC36">
        <v>973.40293866834782</v>
      </c>
    </row>
    <row r="37" spans="1:55" hidden="1">
      <c r="A37" t="s">
        <v>18</v>
      </c>
      <c r="B37" t="s">
        <v>150</v>
      </c>
      <c r="AV37">
        <v>169</v>
      </c>
      <c r="AW37">
        <v>262.02752293577981</v>
      </c>
      <c r="AX37">
        <v>406.26285666189716</v>
      </c>
      <c r="AY37">
        <v>629.89378693450112</v>
      </c>
      <c r="AZ37">
        <v>976.62431185257515</v>
      </c>
      <c r="BA37">
        <v>1514.2156761750937</v>
      </c>
      <c r="BB37">
        <v>2347.7288924182644</v>
      </c>
      <c r="BC37">
        <v>3640.0567231072173</v>
      </c>
    </row>
    <row r="38" spans="1:55" hidden="1">
      <c r="A38" t="s">
        <v>6</v>
      </c>
      <c r="B38" t="s">
        <v>150</v>
      </c>
      <c r="AV38">
        <v>54</v>
      </c>
      <c r="AW38">
        <v>59.510204081632651</v>
      </c>
      <c r="AX38">
        <v>65.58267388588088</v>
      </c>
      <c r="AY38">
        <v>72.274783466072805</v>
      </c>
      <c r="AZ38">
        <v>79.649761370774101</v>
      </c>
      <c r="BA38">
        <v>87.777288041261244</v>
      </c>
      <c r="BB38">
        <v>96.734154167920551</v>
      </c>
      <c r="BC38">
        <v>106.60498622587161</v>
      </c>
    </row>
    <row r="39" spans="1:55" hidden="1">
      <c r="A39" t="s">
        <v>146</v>
      </c>
      <c r="B39" t="s">
        <v>150</v>
      </c>
      <c r="AV39">
        <v>13104</v>
      </c>
      <c r="AW39">
        <v>13110.002748511222</v>
      </c>
      <c r="AX39">
        <v>13116.00824679272</v>
      </c>
      <c r="AY39">
        <v>13122.016496104123</v>
      </c>
      <c r="AZ39">
        <v>13128.027497705636</v>
      </c>
      <c r="BA39">
        <v>13134.041252858042</v>
      </c>
      <c r="BB39">
        <v>13140.057762822704</v>
      </c>
      <c r="BC39">
        <v>13146.077028861559</v>
      </c>
    </row>
    <row r="40" spans="1:55" hidden="1">
      <c r="A40" t="s">
        <v>147</v>
      </c>
      <c r="B40" t="s">
        <v>150</v>
      </c>
      <c r="AV40">
        <v>67666</v>
      </c>
      <c r="AW40">
        <v>67740.081015504795</v>
      </c>
      <c r="AX40">
        <v>67814.24313521049</v>
      </c>
      <c r="AY40">
        <v>67888.486447910298</v>
      </c>
      <c r="AZ40">
        <v>67962.81104249465</v>
      </c>
      <c r="BA40">
        <v>68037.217007951273</v>
      </c>
      <c r="BB40">
        <v>68111.704433365347</v>
      </c>
      <c r="BC40">
        <v>68186.273407919565</v>
      </c>
    </row>
    <row r="41" spans="1:55" hidden="1">
      <c r="A41" t="s">
        <v>92</v>
      </c>
      <c r="B41" t="s">
        <v>150</v>
      </c>
      <c r="AV41">
        <v>741</v>
      </c>
      <c r="AW41">
        <v>741</v>
      </c>
      <c r="AX41">
        <v>741</v>
      </c>
      <c r="AY41">
        <v>741</v>
      </c>
      <c r="AZ41">
        <v>741</v>
      </c>
      <c r="BA41">
        <v>741</v>
      </c>
      <c r="BB41">
        <v>741</v>
      </c>
      <c r="BC41">
        <v>741</v>
      </c>
    </row>
    <row r="42" spans="1:55" hidden="1">
      <c r="A42" t="s">
        <v>99</v>
      </c>
      <c r="B42" t="s">
        <v>150</v>
      </c>
      <c r="AV42">
        <v>952</v>
      </c>
      <c r="AW42">
        <v>1381.560975609756</v>
      </c>
      <c r="AX42">
        <v>2004.9482450922069</v>
      </c>
      <c r="AY42">
        <v>2909.6200142191783</v>
      </c>
      <c r="AZ42">
        <v>4222.4973377083197</v>
      </c>
      <c r="BA42">
        <v>6127.7705266742687</v>
      </c>
      <c r="BB42">
        <v>8892.7401545638768</v>
      </c>
      <c r="BC42">
        <v>12905.318029184162</v>
      </c>
    </row>
    <row r="43" spans="1:55" hidden="1">
      <c r="A43" t="s">
        <v>10</v>
      </c>
      <c r="B43" t="s">
        <v>150</v>
      </c>
      <c r="AV43">
        <v>799</v>
      </c>
      <c r="AW43">
        <v>952.83731343283591</v>
      </c>
      <c r="AX43">
        <v>1136.294049899755</v>
      </c>
      <c r="AY43">
        <v>1355.0730535371706</v>
      </c>
      <c r="AZ43">
        <v>1615.9751787704467</v>
      </c>
      <c r="BA43">
        <v>1927.1106982650551</v>
      </c>
      <c r="BB43">
        <v>2298.1514147966855</v>
      </c>
      <c r="BC43">
        <v>2740.6313140635102</v>
      </c>
    </row>
    <row r="44" spans="1:55" hidden="1">
      <c r="A44" t="s">
        <v>34</v>
      </c>
      <c r="B44" t="s">
        <v>150</v>
      </c>
      <c r="AV44">
        <v>46</v>
      </c>
      <c r="AW44">
        <v>47.022222222222219</v>
      </c>
      <c r="AX44">
        <v>48.067160493827153</v>
      </c>
      <c r="AY44">
        <v>49.135319615912195</v>
      </c>
      <c r="AZ44">
        <v>50.227215607376905</v>
      </c>
      <c r="BA44">
        <v>51.343375954207502</v>
      </c>
      <c r="BB44">
        <v>52.484339864300999</v>
      </c>
      <c r="BC44">
        <v>53.650658527952132</v>
      </c>
    </row>
    <row r="45" spans="1:55" hidden="1">
      <c r="A45" t="s">
        <v>42</v>
      </c>
      <c r="B45" t="s">
        <v>150</v>
      </c>
      <c r="AV45">
        <v>50</v>
      </c>
      <c r="AW45">
        <v>58.139534883720934</v>
      </c>
      <c r="AX45">
        <v>67.604110329908067</v>
      </c>
      <c r="AY45">
        <v>78.609430616172176</v>
      </c>
      <c r="AZ45">
        <v>91.406314669967657</v>
      </c>
      <c r="BA45">
        <v>106.28641240693914</v>
      </c>
      <c r="BB45">
        <v>123.58885163597574</v>
      </c>
      <c r="BC45">
        <v>143.70796701857645</v>
      </c>
    </row>
    <row r="46" spans="1:55" hidden="1">
      <c r="A46" t="s">
        <v>14</v>
      </c>
      <c r="B46" t="s">
        <v>150</v>
      </c>
      <c r="AV46">
        <v>34</v>
      </c>
      <c r="AW46">
        <v>37.29032258064516</v>
      </c>
      <c r="AX46">
        <v>40.899063475546299</v>
      </c>
      <c r="AY46">
        <v>44.857037360276586</v>
      </c>
      <c r="AZ46">
        <v>49.198040975787222</v>
      </c>
      <c r="BA46">
        <v>53.959141715379531</v>
      </c>
      <c r="BB46">
        <v>59.180994139448515</v>
      </c>
      <c r="BC46">
        <v>64.908187120685469</v>
      </c>
    </row>
    <row r="47" spans="1:55" hidden="1">
      <c r="A47" t="s">
        <v>97</v>
      </c>
      <c r="B47" t="s">
        <v>150</v>
      </c>
      <c r="AV47">
        <v>5823</v>
      </c>
      <c r="AW47">
        <v>7142.8963555930068</v>
      </c>
      <c r="AX47">
        <v>8761.9729257674499</v>
      </c>
      <c r="AY47">
        <v>10748.044732829969</v>
      </c>
      <c r="AZ47">
        <v>13184.298394621637</v>
      </c>
      <c r="BA47">
        <v>16172.776396014704</v>
      </c>
      <c r="BB47">
        <v>19838.651138401859</v>
      </c>
      <c r="BC47">
        <v>24335.467785741319</v>
      </c>
    </row>
    <row r="48" spans="1:55" hidden="1">
      <c r="A48" t="s">
        <v>21</v>
      </c>
      <c r="B48" t="s">
        <v>150</v>
      </c>
      <c r="AV48">
        <v>54</v>
      </c>
      <c r="AW48">
        <v>72.900000000000006</v>
      </c>
      <c r="AX48">
        <v>98.41500000000002</v>
      </c>
      <c r="AY48">
        <v>132.86025000000004</v>
      </c>
      <c r="AZ48">
        <v>179.36133750000005</v>
      </c>
      <c r="BA48">
        <v>242.13780562500008</v>
      </c>
      <c r="BB48">
        <v>326.88603759375013</v>
      </c>
      <c r="BC48">
        <v>441.29615075156272</v>
      </c>
    </row>
    <row r="49" spans="1:55" hidden="1">
      <c r="A49" t="s">
        <v>15</v>
      </c>
      <c r="B49" t="s">
        <v>150</v>
      </c>
      <c r="AV49">
        <v>5883</v>
      </c>
      <c r="AW49">
        <v>7465.4204055220016</v>
      </c>
      <c r="AX49">
        <v>9473.4832281462332</v>
      </c>
      <c r="AY49">
        <v>12021.678565829226</v>
      </c>
      <c r="AZ49">
        <v>15255.292278423931</v>
      </c>
      <c r="BA49">
        <v>19358.689489639342</v>
      </c>
      <c r="BB49">
        <v>24565.826200937932</v>
      </c>
      <c r="BC49">
        <v>31173.58833911084</v>
      </c>
    </row>
    <row r="50" spans="1:55" hidden="1">
      <c r="A50" t="s">
        <v>2</v>
      </c>
      <c r="B50" t="s">
        <v>150</v>
      </c>
      <c r="AV50">
        <v>461</v>
      </c>
      <c r="AW50">
        <v>506.00238095238097</v>
      </c>
      <c r="AX50">
        <v>555.39785147392297</v>
      </c>
      <c r="AY50">
        <v>609.61526078447264</v>
      </c>
      <c r="AZ50">
        <v>669.12532195629024</v>
      </c>
      <c r="BA50">
        <v>734.44469862345193</v>
      </c>
      <c r="BB50">
        <v>806.14049063193181</v>
      </c>
      <c r="BC50">
        <v>884.8351575745728</v>
      </c>
    </row>
    <row r="51" spans="1:55" hidden="1">
      <c r="A51" t="s">
        <v>98</v>
      </c>
      <c r="B51" t="s">
        <v>150</v>
      </c>
      <c r="AV51">
        <v>7041</v>
      </c>
      <c r="AW51">
        <v>7519.4419839223419</v>
      </c>
      <c r="AX51">
        <v>8030.3945106624005</v>
      </c>
      <c r="AY51">
        <v>8576.0666994651838</v>
      </c>
      <c r="AZ51">
        <v>9158.8177811215464</v>
      </c>
      <c r="BA51">
        <v>9781.1672981763695</v>
      </c>
      <c r="BB51">
        <v>10445.805998249631</v>
      </c>
      <c r="BC51">
        <v>11155.607467567974</v>
      </c>
    </row>
    <row r="52" spans="1:55" hidden="1">
      <c r="A52" t="s">
        <v>25</v>
      </c>
      <c r="B52" t="s">
        <v>150</v>
      </c>
      <c r="AV52">
        <v>61</v>
      </c>
      <c r="AW52">
        <v>64.155172413793096</v>
      </c>
      <c r="AX52">
        <v>67.473543400713424</v>
      </c>
      <c r="AY52">
        <v>70.963554266267565</v>
      </c>
      <c r="AZ52">
        <v>74.634082935212433</v>
      </c>
      <c r="BA52">
        <v>78.494466535309627</v>
      </c>
      <c r="BB52">
        <v>82.554525149204949</v>
      </c>
      <c r="BC52">
        <v>86.824586794853474</v>
      </c>
    </row>
    <row r="53" spans="1:55" hidden="1">
      <c r="A53" t="s">
        <v>5</v>
      </c>
      <c r="B53" t="s">
        <v>150</v>
      </c>
      <c r="AV53">
        <v>93</v>
      </c>
      <c r="AW53">
        <v>104.20481927710843</v>
      </c>
      <c r="AX53">
        <v>116.7596167803745</v>
      </c>
      <c r="AY53">
        <v>130.82704048885336</v>
      </c>
      <c r="AZ53">
        <v>146.58933452365497</v>
      </c>
      <c r="BA53">
        <v>164.25070012891459</v>
      </c>
      <c r="BB53">
        <v>184.03994110830189</v>
      </c>
      <c r="BC53">
        <v>206.21342798882017</v>
      </c>
    </row>
    <row r="54" spans="1:55" hidden="1">
      <c r="A54" t="s">
        <v>39</v>
      </c>
      <c r="B54" t="s">
        <v>150</v>
      </c>
      <c r="AV54">
        <v>188</v>
      </c>
      <c r="AW54">
        <v>276.125</v>
      </c>
      <c r="AX54">
        <v>405.55859375</v>
      </c>
      <c r="AY54">
        <v>595.6641845703125</v>
      </c>
      <c r="AZ54">
        <v>874.88177108764648</v>
      </c>
      <c r="BA54">
        <v>1284.9826012849808</v>
      </c>
      <c r="BB54">
        <v>1887.3181956373155</v>
      </c>
      <c r="BC54">
        <v>2771.9985998423072</v>
      </c>
    </row>
    <row r="55" spans="1:55" hidden="1">
      <c r="A55" t="s">
        <v>36</v>
      </c>
      <c r="B55" t="s">
        <v>150</v>
      </c>
      <c r="AV55">
        <v>147</v>
      </c>
      <c r="AW55">
        <v>200.08333333333334</v>
      </c>
      <c r="AX55">
        <v>272.33564814814815</v>
      </c>
      <c r="AY55">
        <v>370.67907664609055</v>
      </c>
      <c r="AZ55">
        <v>504.53540987940107</v>
      </c>
      <c r="BA55">
        <v>686.72875233585148</v>
      </c>
      <c r="BB55">
        <v>934.71413512379786</v>
      </c>
      <c r="BC55">
        <v>1272.2497950296138</v>
      </c>
    </row>
    <row r="56" spans="1:55" hidden="1">
      <c r="A56" t="s">
        <v>40</v>
      </c>
      <c r="B56" t="s">
        <v>150</v>
      </c>
      <c r="AV56">
        <v>23</v>
      </c>
      <c r="AW56">
        <v>25.190476190476193</v>
      </c>
      <c r="AX56">
        <v>27.589569160997737</v>
      </c>
      <c r="AY56">
        <v>30.217147176330858</v>
      </c>
      <c r="AZ56">
        <v>33.094970716933801</v>
      </c>
      <c r="BA56">
        <v>36.24687268997512</v>
      </c>
      <c r="BB56">
        <v>39.698955803306085</v>
      </c>
      <c r="BC56">
        <v>43.47980873695429</v>
      </c>
    </row>
    <row r="57" spans="1:55" hidden="1">
      <c r="A57" t="s">
        <v>3</v>
      </c>
      <c r="B57" t="s">
        <v>150</v>
      </c>
      <c r="AV57">
        <v>138</v>
      </c>
      <c r="AW57">
        <v>146.49230769230769</v>
      </c>
      <c r="AX57">
        <v>155.50721893491124</v>
      </c>
      <c r="AY57">
        <v>165.0768939462904</v>
      </c>
      <c r="AZ57">
        <v>175.23547203529287</v>
      </c>
      <c r="BA57">
        <v>186.01919339131089</v>
      </c>
      <c r="BB57">
        <v>197.46652836923772</v>
      </c>
      <c r="BC57">
        <v>209.61831473042159</v>
      </c>
    </row>
    <row r="58" spans="1:55" hidden="1">
      <c r="A58" t="s">
        <v>17</v>
      </c>
      <c r="B58" t="s">
        <v>150</v>
      </c>
      <c r="AV58">
        <v>500</v>
      </c>
      <c r="AW58">
        <v>625</v>
      </c>
      <c r="AX58">
        <v>781.25</v>
      </c>
      <c r="AY58">
        <v>976.5625</v>
      </c>
      <c r="AZ58">
        <v>1220.703125</v>
      </c>
      <c r="BA58">
        <v>1525.87890625</v>
      </c>
      <c r="BB58">
        <v>1907.3486328125</v>
      </c>
      <c r="BC58">
        <v>2384.185791015625</v>
      </c>
    </row>
    <row r="59" spans="1:55" hidden="1">
      <c r="A59" t="s">
        <v>16</v>
      </c>
      <c r="B59" t="s">
        <v>150</v>
      </c>
      <c r="AV59">
        <v>161</v>
      </c>
      <c r="AW59">
        <v>256.64356435643566</v>
      </c>
      <c r="AX59">
        <v>409.10508773649644</v>
      </c>
      <c r="AY59">
        <v>652.1378131245142</v>
      </c>
      <c r="AZ59">
        <v>1039.5464149806612</v>
      </c>
      <c r="BA59">
        <v>1657.0987407117473</v>
      </c>
      <c r="BB59">
        <v>2641.5138342038745</v>
      </c>
      <c r="BC59">
        <v>4210.7299733348891</v>
      </c>
    </row>
    <row r="60" spans="1:55" hidden="1">
      <c r="A60" t="s">
        <v>28</v>
      </c>
      <c r="B60" t="s">
        <v>150</v>
      </c>
      <c r="AV60">
        <v>268</v>
      </c>
      <c r="AW60">
        <v>335.62616822429902</v>
      </c>
      <c r="AX60">
        <v>420.31688357061745</v>
      </c>
      <c r="AY60">
        <v>526.37815325666111</v>
      </c>
      <c r="AZ60">
        <v>659.20254706908952</v>
      </c>
      <c r="BA60">
        <v>825.54337670334564</v>
      </c>
      <c r="BB60">
        <v>1033.8580605443767</v>
      </c>
      <c r="BC60">
        <v>1294.7381318966959</v>
      </c>
    </row>
    <row r="61" spans="1:55" hidden="1">
      <c r="A61" t="s">
        <v>122</v>
      </c>
      <c r="B61" t="s">
        <v>150</v>
      </c>
      <c r="AV61">
        <v>45</v>
      </c>
      <c r="AW61">
        <v>45</v>
      </c>
      <c r="AX61">
        <v>45</v>
      </c>
      <c r="AY61">
        <v>45</v>
      </c>
      <c r="AZ61">
        <v>45</v>
      </c>
      <c r="BA61">
        <v>45</v>
      </c>
      <c r="BB61">
        <v>45</v>
      </c>
      <c r="BC61">
        <v>45</v>
      </c>
    </row>
    <row r="62" spans="1:55" hidden="1">
      <c r="A62" t="s">
        <v>1</v>
      </c>
      <c r="B62" t="s">
        <v>150</v>
      </c>
      <c r="AV62">
        <v>50</v>
      </c>
      <c r="AW62">
        <v>52.083333333333336</v>
      </c>
      <c r="AX62">
        <v>54.253472222222229</v>
      </c>
      <c r="AY62">
        <v>56.514033564814824</v>
      </c>
      <c r="AZ62">
        <v>58.86878496334878</v>
      </c>
      <c r="BA62">
        <v>61.32165100348832</v>
      </c>
      <c r="BB62">
        <v>63.876719795300339</v>
      </c>
      <c r="BC62">
        <v>66.538249786771189</v>
      </c>
    </row>
    <row r="63" spans="1:55">
      <c r="A63" t="s">
        <v>100</v>
      </c>
      <c r="B63" t="s">
        <v>150</v>
      </c>
      <c r="AV63">
        <v>207</v>
      </c>
      <c r="AW63">
        <v>261.27439024390242</v>
      </c>
      <c r="AX63">
        <v>329.77926085663296</v>
      </c>
      <c r="AY63">
        <v>416.24577437392088</v>
      </c>
      <c r="AZ63">
        <v>525.3833859475709</v>
      </c>
      <c r="BA63">
        <v>663.13634689723892</v>
      </c>
      <c r="BB63">
        <v>837.00746224224667</v>
      </c>
      <c r="BC63">
        <v>1056.4667358789334</v>
      </c>
    </row>
    <row r="64" spans="1:55" hidden="1">
      <c r="A64" t="s">
        <v>124</v>
      </c>
      <c r="B64" t="s">
        <v>150</v>
      </c>
      <c r="AV64">
        <v>45</v>
      </c>
      <c r="AW64">
        <v>69.827586206896555</v>
      </c>
      <c r="AX64">
        <v>108.35315101070155</v>
      </c>
      <c r="AY64">
        <v>168.13419984419207</v>
      </c>
      <c r="AZ64">
        <v>260.89789630995318</v>
      </c>
      <c r="BA64">
        <v>404.84156323958251</v>
      </c>
      <c r="BB64">
        <v>628.20242571659355</v>
      </c>
      <c r="BC64">
        <v>974.79686749126586</v>
      </c>
    </row>
    <row r="65" spans="1:55" hidden="1">
      <c r="A65" t="s">
        <v>91</v>
      </c>
      <c r="B65" t="s">
        <v>150</v>
      </c>
      <c r="AV65">
        <v>357</v>
      </c>
      <c r="AW65">
        <v>587.32258064516134</v>
      </c>
      <c r="AX65">
        <v>966.24037460978161</v>
      </c>
      <c r="AY65">
        <v>1589.6212614548022</v>
      </c>
      <c r="AZ65">
        <v>2615.1833656191907</v>
      </c>
      <c r="BA65">
        <v>4302.3984402122169</v>
      </c>
      <c r="BB65">
        <v>7078.1393693813898</v>
      </c>
      <c r="BC65">
        <v>11644.680898014545</v>
      </c>
    </row>
    <row r="66" spans="1:55" hidden="1">
      <c r="A66" t="s">
        <v>7</v>
      </c>
      <c r="B66" t="s">
        <v>156</v>
      </c>
      <c r="AV66">
        <v>63</v>
      </c>
      <c r="AW66">
        <v>71.892483075146899</v>
      </c>
      <c r="AX66">
        <v>82.040144804925134</v>
      </c>
      <c r="AY66">
        <v>93.620154315407632</v>
      </c>
      <c r="AZ66">
        <v>106.83468824782673</v>
      </c>
      <c r="BA66">
        <v>121.91446058246791</v>
      </c>
      <c r="BB66">
        <v>139.12275069905934</v>
      </c>
      <c r="BC66">
        <v>158.76000000000008</v>
      </c>
    </row>
    <row r="67" spans="1:55" hidden="1">
      <c r="A67" t="s">
        <v>29</v>
      </c>
      <c r="B67" t="s">
        <v>153</v>
      </c>
      <c r="AV67">
        <v>79</v>
      </c>
      <c r="AW67">
        <v>110.02187461436158</v>
      </c>
      <c r="AX67">
        <v>153.22547966656077</v>
      </c>
      <c r="AY67">
        <v>213.39436090632606</v>
      </c>
      <c r="AZ67">
        <v>297.19047619047626</v>
      </c>
      <c r="BA67">
        <v>413.89181402545552</v>
      </c>
      <c r="BB67">
        <v>576.41966160277627</v>
      </c>
      <c r="BC67">
        <v>802.76926245713139</v>
      </c>
    </row>
    <row r="68" spans="1:55" hidden="1">
      <c r="A68" t="s">
        <v>24</v>
      </c>
      <c r="B68" t="s">
        <v>156</v>
      </c>
      <c r="AV68">
        <v>85</v>
      </c>
      <c r="AW68">
        <v>94.330580489549973</v>
      </c>
      <c r="AX68">
        <v>104.68539312347606</v>
      </c>
      <c r="AY68">
        <v>116.17686943663811</v>
      </c>
      <c r="AZ68">
        <v>128.92978274607916</v>
      </c>
      <c r="BA68">
        <v>143.08260292740249</v>
      </c>
      <c r="BB68">
        <v>158.78899990703127</v>
      </c>
      <c r="BC68">
        <v>176.21951219512184</v>
      </c>
    </row>
    <row r="69" spans="1:55" hidden="1">
      <c r="A69" t="s">
        <v>18</v>
      </c>
      <c r="B69" t="s">
        <v>152</v>
      </c>
      <c r="AV69">
        <v>169</v>
      </c>
      <c r="AW69">
        <v>397.37556222480799</v>
      </c>
      <c r="AX69">
        <v>934.36294351172921</v>
      </c>
      <c r="AY69">
        <v>2196.9999999999995</v>
      </c>
      <c r="AZ69">
        <v>5165.8823089225025</v>
      </c>
      <c r="BA69">
        <v>12146.718265652476</v>
      </c>
      <c r="BB69">
        <v>28560.999999999985</v>
      </c>
      <c r="BC69">
        <v>67156.470015992512</v>
      </c>
    </row>
    <row r="70" spans="1:55" hidden="1">
      <c r="A70" t="s">
        <v>6</v>
      </c>
      <c r="B70" t="s">
        <v>155</v>
      </c>
      <c r="AV70">
        <v>54</v>
      </c>
      <c r="AW70">
        <v>61.814569097879918</v>
      </c>
      <c r="AX70">
        <v>70.760017643640211</v>
      </c>
      <c r="AY70">
        <v>81</v>
      </c>
      <c r="AZ70">
        <v>92.721853646819881</v>
      </c>
      <c r="BA70">
        <v>106.14002646546031</v>
      </c>
      <c r="BB70">
        <v>121.5</v>
      </c>
      <c r="BC70">
        <v>139.08278047022984</v>
      </c>
    </row>
    <row r="71" spans="1:55" hidden="1">
      <c r="A71" t="s">
        <v>146</v>
      </c>
      <c r="B71" t="s">
        <v>156</v>
      </c>
      <c r="AV71">
        <v>13104</v>
      </c>
      <c r="AW71">
        <v>13116.188075595308</v>
      </c>
      <c r="AX71">
        <v>13128.387487361762</v>
      </c>
      <c r="AY71">
        <v>13140.598245843177</v>
      </c>
      <c r="AZ71">
        <v>13152.820361593171</v>
      </c>
      <c r="BA71">
        <v>13165.053845175176</v>
      </c>
      <c r="BB71">
        <v>13177.298707162454</v>
      </c>
      <c r="BC71">
        <v>13189.554958138098</v>
      </c>
    </row>
    <row r="72" spans="1:55" hidden="1">
      <c r="A72" t="s">
        <v>147</v>
      </c>
      <c r="B72" t="s">
        <v>156</v>
      </c>
      <c r="AV72">
        <v>67666</v>
      </c>
      <c r="AW72">
        <v>67858.01830815943</v>
      </c>
      <c r="AX72">
        <v>68050.581513766141</v>
      </c>
      <c r="AY72">
        <v>68243.691163095762</v>
      </c>
      <c r="AZ72">
        <v>68437.348806811846</v>
      </c>
      <c r="BA72">
        <v>68631.555999978285</v>
      </c>
      <c r="BB72">
        <v>68826.314302071871</v>
      </c>
      <c r="BC72">
        <v>69021.625276994775</v>
      </c>
    </row>
    <row r="73" spans="1:55" hidden="1">
      <c r="A73" t="s">
        <v>92</v>
      </c>
      <c r="B73" t="s">
        <v>156</v>
      </c>
      <c r="AV73">
        <v>741</v>
      </c>
      <c r="AW73">
        <v>739.8641395365263</v>
      </c>
      <c r="AX73">
        <v>738.73002020529611</v>
      </c>
      <c r="AY73">
        <v>737.59763933737122</v>
      </c>
      <c r="AZ73">
        <v>736.46699426790451</v>
      </c>
      <c r="BA73">
        <v>735.33808233613365</v>
      </c>
      <c r="BB73">
        <v>734.21090088537494</v>
      </c>
      <c r="BC73">
        <v>733.08544726301716</v>
      </c>
    </row>
    <row r="74" spans="1:55" hidden="1">
      <c r="A74" t="s">
        <v>99</v>
      </c>
      <c r="B74" t="s">
        <v>156</v>
      </c>
      <c r="AV74">
        <v>952</v>
      </c>
      <c r="AW74">
        <v>1313.5367463264288</v>
      </c>
      <c r="AX74">
        <v>1812.3726722161985</v>
      </c>
      <c r="AY74">
        <v>2500.6492678506311</v>
      </c>
      <c r="AZ74">
        <v>3450.3095619706769</v>
      </c>
      <c r="BA74">
        <v>4760.618062867572</v>
      </c>
      <c r="BB74">
        <v>6568.5365134473705</v>
      </c>
      <c r="BC74">
        <v>9063.0400000000045</v>
      </c>
    </row>
    <row r="75" spans="1:55" hidden="1">
      <c r="A75" t="s">
        <v>10</v>
      </c>
      <c r="B75" t="s">
        <v>156</v>
      </c>
      <c r="AV75">
        <v>799</v>
      </c>
      <c r="AW75">
        <v>1112.0049865352239</v>
      </c>
      <c r="AX75">
        <v>1547.628398096625</v>
      </c>
      <c r="AY75">
        <v>2153.9055018610356</v>
      </c>
      <c r="AZ75">
        <v>2997.689184724813</v>
      </c>
      <c r="BA75">
        <v>4172.0216789695896</v>
      </c>
      <c r="BB75">
        <v>5806.3941313482355</v>
      </c>
      <c r="BC75">
        <v>8081.0253164556916</v>
      </c>
    </row>
    <row r="76" spans="1:55" hidden="1">
      <c r="A76" t="s">
        <v>34</v>
      </c>
      <c r="B76" t="s">
        <v>151</v>
      </c>
      <c r="AV76">
        <v>46</v>
      </c>
      <c r="AW76">
        <v>56.034551552965382</v>
      </c>
      <c r="AX76">
        <v>68.258064516129025</v>
      </c>
      <c r="AY76">
        <v>83.148044239884101</v>
      </c>
      <c r="AZ76">
        <v>101.28616024973982</v>
      </c>
      <c r="BA76">
        <v>123.38096887208606</v>
      </c>
      <c r="BB76">
        <v>150.29559262864615</v>
      </c>
      <c r="BC76">
        <v>183.08143768115991</v>
      </c>
    </row>
    <row r="77" spans="1:55" hidden="1">
      <c r="A77" t="s">
        <v>42</v>
      </c>
      <c r="B77" t="s">
        <v>152</v>
      </c>
      <c r="AV77">
        <v>50</v>
      </c>
      <c r="AW77">
        <v>62.177829329929054</v>
      </c>
      <c r="AX77">
        <v>77.321649203635715</v>
      </c>
      <c r="AY77">
        <v>96.153846153846132</v>
      </c>
      <c r="AZ77">
        <v>119.572748711402</v>
      </c>
      <c r="BA77">
        <v>148.69547923776096</v>
      </c>
      <c r="BB77">
        <v>184.91124260355022</v>
      </c>
      <c r="BC77">
        <v>229.94759367577305</v>
      </c>
    </row>
    <row r="78" spans="1:55" hidden="1">
      <c r="A78" t="s">
        <v>14</v>
      </c>
      <c r="B78" t="s">
        <v>152</v>
      </c>
      <c r="AV78">
        <v>34</v>
      </c>
      <c r="AW78">
        <v>36.273200707634182</v>
      </c>
      <c r="AX78">
        <v>38.698384987538617</v>
      </c>
      <c r="AY78">
        <v>41.285714285714285</v>
      </c>
      <c r="AZ78">
        <v>44.046029430698646</v>
      </c>
      <c r="BA78">
        <v>46.990896056296883</v>
      </c>
      <c r="BB78">
        <v>50.132653061224481</v>
      </c>
      <c r="BC78">
        <v>53.484464308705491</v>
      </c>
    </row>
    <row r="79" spans="1:55" hidden="1">
      <c r="A79" t="s">
        <v>97</v>
      </c>
      <c r="B79" t="s">
        <v>156</v>
      </c>
      <c r="AV79">
        <v>5823</v>
      </c>
      <c r="AW79">
        <v>8070.0129660232406</v>
      </c>
      <c r="AX79">
        <v>11184.116309768713</v>
      </c>
      <c r="AY79">
        <v>15499.907888261294</v>
      </c>
      <c r="AZ79">
        <v>21481.102117539849</v>
      </c>
      <c r="BA79">
        <v>29770.354218275093</v>
      </c>
      <c r="BB79">
        <v>41258.310929861698</v>
      </c>
      <c r="BC79">
        <v>57179.30691399661</v>
      </c>
    </row>
    <row r="80" spans="1:55" hidden="1">
      <c r="A80" t="s">
        <v>21</v>
      </c>
      <c r="B80" t="s">
        <v>154</v>
      </c>
      <c r="AV80">
        <v>54</v>
      </c>
      <c r="AW80">
        <v>62.49968697143872</v>
      </c>
      <c r="AX80">
        <v>72.337238361626419</v>
      </c>
      <c r="AY80">
        <v>83.723236184814809</v>
      </c>
      <c r="AZ80">
        <v>96.901408403458461</v>
      </c>
      <c r="BA80">
        <v>112.1538461538462</v>
      </c>
      <c r="BB80">
        <v>129.80704217144969</v>
      </c>
      <c r="BC80">
        <v>150.23887967414723</v>
      </c>
    </row>
    <row r="81" spans="1:55" hidden="1">
      <c r="A81" t="s">
        <v>15</v>
      </c>
      <c r="B81" t="s">
        <v>156</v>
      </c>
      <c r="AV81">
        <v>5883</v>
      </c>
      <c r="AW81">
        <v>7448.499835196737</v>
      </c>
      <c r="AX81">
        <v>9430.588100446339</v>
      </c>
      <c r="AY81">
        <v>11940.1213516884</v>
      </c>
      <c r="AZ81">
        <v>15117.455706319919</v>
      </c>
      <c r="BA81">
        <v>19140.296844657129</v>
      </c>
      <c r="BB81">
        <v>24233.638941534122</v>
      </c>
      <c r="BC81">
        <v>30682.348404255332</v>
      </c>
    </row>
    <row r="82" spans="1:55" hidden="1">
      <c r="A82" t="s">
        <v>2</v>
      </c>
      <c r="B82" t="s">
        <v>156</v>
      </c>
      <c r="AV82">
        <v>461</v>
      </c>
      <c r="AW82">
        <v>505.75650818803501</v>
      </c>
      <c r="AX82">
        <v>554.85823335044233</v>
      </c>
      <c r="AY82">
        <v>608.72703392343089</v>
      </c>
      <c r="AZ82">
        <v>667.82572476523637</v>
      </c>
      <c r="BA82">
        <v>732.66205343906665</v>
      </c>
      <c r="BB82">
        <v>803.79306253626442</v>
      </c>
      <c r="BC82">
        <v>881.82987551867234</v>
      </c>
    </row>
    <row r="83" spans="1:55" hidden="1">
      <c r="A83" t="s">
        <v>98</v>
      </c>
      <c r="B83" t="s">
        <v>156</v>
      </c>
      <c r="AV83">
        <v>7041</v>
      </c>
      <c r="AW83">
        <v>7898.3748834130756</v>
      </c>
      <c r="AX83">
        <v>8860.1513703920627</v>
      </c>
      <c r="AY83">
        <v>9939.042330229031</v>
      </c>
      <c r="AZ83">
        <v>11149.308664431237</v>
      </c>
      <c r="BA83">
        <v>12506.947808913998</v>
      </c>
      <c r="BB83">
        <v>14029.905189899802</v>
      </c>
      <c r="BC83">
        <v>15738.311428571418</v>
      </c>
    </row>
    <row r="84" spans="1:55" hidden="1">
      <c r="A84" t="s">
        <v>25</v>
      </c>
      <c r="B84" t="s">
        <v>156</v>
      </c>
      <c r="AV84">
        <v>61</v>
      </c>
      <c r="AW84">
        <v>63.709432717012042</v>
      </c>
      <c r="AX84">
        <v>66.539210116778435</v>
      </c>
      <c r="AY84">
        <v>69.494677540623329</v>
      </c>
      <c r="AZ84">
        <v>72.581417753521151</v>
      </c>
      <c r="BA84">
        <v>75.80526148972622</v>
      </c>
      <c r="BB84">
        <v>79.172298466806836</v>
      </c>
      <c r="BC84">
        <v>82.688888888888954</v>
      </c>
    </row>
    <row r="85" spans="1:55" hidden="1">
      <c r="A85" t="s">
        <v>5</v>
      </c>
      <c r="B85" t="s">
        <v>156</v>
      </c>
      <c r="AV85">
        <v>93</v>
      </c>
      <c r="AW85">
        <v>112.19902496600335</v>
      </c>
      <c r="AX85">
        <v>135.36151831528863</v>
      </c>
      <c r="AY85">
        <v>163.30570293433539</v>
      </c>
      <c r="AZ85">
        <v>197.01871656580886</v>
      </c>
      <c r="BA85">
        <v>237.69148278211964</v>
      </c>
      <c r="BB85">
        <v>286.76078076212252</v>
      </c>
      <c r="BC85">
        <v>345.96</v>
      </c>
    </row>
    <row r="86" spans="1:55" hidden="1">
      <c r="A86" t="s">
        <v>39</v>
      </c>
      <c r="B86" t="s">
        <v>153</v>
      </c>
      <c r="AV86">
        <v>188</v>
      </c>
      <c r="AW86">
        <v>314.51727275453464</v>
      </c>
      <c r="AX86">
        <v>526.17614287739548</v>
      </c>
      <c r="AY86">
        <v>880.27385875690845</v>
      </c>
      <c r="AZ86">
        <v>1472.6666666666665</v>
      </c>
      <c r="BA86">
        <v>2463.7186365771877</v>
      </c>
      <c r="BB86">
        <v>4121.7131192062634</v>
      </c>
      <c r="BC86">
        <v>6895.4785602624479</v>
      </c>
    </row>
    <row r="87" spans="1:55" hidden="1">
      <c r="A87" t="s">
        <v>36</v>
      </c>
      <c r="B87" t="s">
        <v>154</v>
      </c>
      <c r="AV87">
        <v>147</v>
      </c>
      <c r="AW87">
        <v>209.50423190055901</v>
      </c>
      <c r="AX87">
        <v>298.58519172954561</v>
      </c>
      <c r="AY87">
        <v>425.54327381074557</v>
      </c>
      <c r="AZ87">
        <v>606.48378721203756</v>
      </c>
      <c r="BA87">
        <v>864.36</v>
      </c>
      <c r="BB87">
        <v>1231.8848835752869</v>
      </c>
      <c r="BC87">
        <v>1755.6809273697281</v>
      </c>
    </row>
    <row r="88" spans="1:55" hidden="1">
      <c r="A88" t="s">
        <v>40</v>
      </c>
      <c r="B88" t="s">
        <v>151</v>
      </c>
      <c r="AV88">
        <v>23</v>
      </c>
      <c r="AW88">
        <v>24.070333449725045</v>
      </c>
      <c r="AX88">
        <v>25.19047619047619</v>
      </c>
      <c r="AY88">
        <v>26.36274615922267</v>
      </c>
      <c r="AZ88">
        <v>27.589569160997737</v>
      </c>
      <c r="BA88">
        <v>28.873483888672453</v>
      </c>
      <c r="BB88">
        <v>30.217147176330858</v>
      </c>
      <c r="BC88">
        <v>31.623339497117453</v>
      </c>
    </row>
    <row r="89" spans="1:55" hidden="1">
      <c r="A89" t="s">
        <v>3</v>
      </c>
      <c r="B89" t="s">
        <v>156</v>
      </c>
      <c r="AV89">
        <v>138</v>
      </c>
      <c r="AW89">
        <v>144.08979287199796</v>
      </c>
      <c r="AX89">
        <v>150.44832181083532</v>
      </c>
      <c r="AY89">
        <v>157.08744585263011</v>
      </c>
      <c r="AZ89">
        <v>164.01954736012078</v>
      </c>
      <c r="BA89">
        <v>171.25755511651207</v>
      </c>
      <c r="BB89">
        <v>178.81496843842751</v>
      </c>
      <c r="BC89">
        <v>186.7058823529411</v>
      </c>
    </row>
    <row r="90" spans="1:55" hidden="1">
      <c r="A90" t="s">
        <v>17</v>
      </c>
      <c r="B90" t="s">
        <v>156</v>
      </c>
      <c r="AV90">
        <v>500</v>
      </c>
      <c r="AW90">
        <v>705.28383754129993</v>
      </c>
      <c r="AX90">
        <v>994.85058299396553</v>
      </c>
      <c r="AY90">
        <v>1403.3040739083672</v>
      </c>
      <c r="AZ90">
        <v>1979.4553649668665</v>
      </c>
      <c r="BA90">
        <v>2792.1557520910924</v>
      </c>
      <c r="BB90">
        <v>3938.5246476956404</v>
      </c>
      <c r="BC90">
        <v>5555.5555555555557</v>
      </c>
    </row>
    <row r="91" spans="1:55" hidden="1">
      <c r="A91" t="s">
        <v>16</v>
      </c>
      <c r="B91" t="s">
        <v>151</v>
      </c>
      <c r="AV91">
        <v>161</v>
      </c>
      <c r="AW91">
        <v>210.70502220635063</v>
      </c>
      <c r="AX91">
        <v>275.75531914893611</v>
      </c>
      <c r="AY91">
        <v>360.88838909811113</v>
      </c>
      <c r="AZ91">
        <v>472.30432322317773</v>
      </c>
      <c r="BA91">
        <v>618.11734728506258</v>
      </c>
      <c r="BB91">
        <v>808.94676637161285</v>
      </c>
      <c r="BC91">
        <v>1058.6903501371817</v>
      </c>
    </row>
    <row r="92" spans="1:55" hidden="1">
      <c r="A92" t="s">
        <v>28</v>
      </c>
      <c r="B92" t="s">
        <v>155</v>
      </c>
      <c r="AV92">
        <v>268</v>
      </c>
      <c r="AW92">
        <v>392.88305577920545</v>
      </c>
      <c r="AX92">
        <v>575.9593116358443</v>
      </c>
      <c r="AY92">
        <v>844.34572522379915</v>
      </c>
      <c r="AZ92">
        <v>1237.7952561941624</v>
      </c>
      <c r="BA92">
        <v>1814.5850100095784</v>
      </c>
      <c r="BB92">
        <v>2660.1481481481464</v>
      </c>
      <c r="BC92">
        <v>3899.7281092158146</v>
      </c>
    </row>
    <row r="93" spans="1:55" hidden="1">
      <c r="A93" t="s">
        <v>122</v>
      </c>
      <c r="B93" t="s">
        <v>156</v>
      </c>
      <c r="AV93">
        <v>45</v>
      </c>
      <c r="AW93">
        <v>45.929401494459121</v>
      </c>
      <c r="AX93">
        <v>46.877998258649413</v>
      </c>
      <c r="AY93">
        <v>47.84618673951254</v>
      </c>
      <c r="AZ93">
        <v>48.834371571954165</v>
      </c>
      <c r="BA93">
        <v>49.842965747952967</v>
      </c>
      <c r="BB93">
        <v>50.872390789162353</v>
      </c>
      <c r="BC93">
        <v>51.923076923076927</v>
      </c>
    </row>
    <row r="94" spans="1:55" hidden="1">
      <c r="A94" t="s">
        <v>1</v>
      </c>
      <c r="B94" t="s">
        <v>156</v>
      </c>
      <c r="AV94">
        <v>50</v>
      </c>
      <c r="AW94">
        <v>51.261020659666976</v>
      </c>
      <c r="AX94">
        <v>52.553844781416089</v>
      </c>
      <c r="AY94">
        <v>53.879274461702032</v>
      </c>
      <c r="AZ94">
        <v>55.238132026183507</v>
      </c>
      <c r="BA94">
        <v>56.631260539912098</v>
      </c>
      <c r="BB94">
        <v>58.059524330388349</v>
      </c>
      <c r="BC94">
        <v>59.523809523809497</v>
      </c>
    </row>
    <row r="95" spans="1:55">
      <c r="A95" t="s">
        <v>100</v>
      </c>
      <c r="B95" t="s">
        <v>156</v>
      </c>
      <c r="AV95">
        <v>207</v>
      </c>
      <c r="AW95">
        <v>283.32878807493574</v>
      </c>
      <c r="AX95">
        <v>387.80290894691717</v>
      </c>
      <c r="AY95">
        <v>530.80061934234152</v>
      </c>
      <c r="AZ95">
        <v>726.52703472314454</v>
      </c>
      <c r="BA95">
        <v>994.42523793133</v>
      </c>
      <c r="BB95">
        <v>1361.1077173633496</v>
      </c>
      <c r="BC95">
        <v>1863.0000000000002</v>
      </c>
    </row>
    <row r="96" spans="1:55" hidden="1">
      <c r="A96" t="s">
        <v>124</v>
      </c>
      <c r="B96" t="s">
        <v>156</v>
      </c>
      <c r="AV96">
        <v>45</v>
      </c>
      <c r="AW96">
        <v>50.176141262437326</v>
      </c>
      <c r="AX96">
        <v>55.947670044179233</v>
      </c>
      <c r="AY96">
        <v>62.383071009799338</v>
      </c>
      <c r="AZ96">
        <v>69.55870629716334</v>
      </c>
      <c r="BA96">
        <v>77.559721626641249</v>
      </c>
      <c r="BB96">
        <v>86.481056635859261</v>
      </c>
      <c r="BC96">
        <v>96.428571428571487</v>
      </c>
    </row>
    <row r="97" spans="1:55" hidden="1">
      <c r="A97" t="s">
        <v>91</v>
      </c>
      <c r="B97" t="s">
        <v>156</v>
      </c>
      <c r="AV97">
        <v>357</v>
      </c>
      <c r="AW97">
        <v>525.00334394173444</v>
      </c>
      <c r="AX97">
        <v>772.06865868348211</v>
      </c>
      <c r="AY97">
        <v>1135.4023180992654</v>
      </c>
      <c r="AZ97">
        <v>1669.7199263902276</v>
      </c>
      <c r="BA97">
        <v>2455.4861198908015</v>
      </c>
      <c r="BB97">
        <v>3611.0319998464583</v>
      </c>
      <c r="BC97">
        <v>5310.3749999999982</v>
      </c>
    </row>
  </sheetData>
  <autoFilter ref="A1:BC97">
    <filterColumn colId="0">
      <filters>
        <filter val="UK"/>
      </filters>
    </filterColumn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Y1:Z66"/>
  <sheetViews>
    <sheetView showRuler="0" workbookViewId="0">
      <selection activeCell="AB11" sqref="AB11"/>
    </sheetView>
  </sheetViews>
  <sheetFormatPr baseColWidth="10" defaultRowHeight="15" x14ac:dyDescent="0"/>
  <sheetData>
    <row r="1" spans="25:26">
      <c r="Y1" t="s">
        <v>7</v>
      </c>
      <c r="Z1" t="s">
        <v>157</v>
      </c>
    </row>
    <row r="2" spans="25:26">
      <c r="Y2" t="s">
        <v>24</v>
      </c>
      <c r="Z2" t="s">
        <v>157</v>
      </c>
    </row>
    <row r="3" spans="25:26">
      <c r="Y3" t="s">
        <v>18</v>
      </c>
      <c r="Z3" t="s">
        <v>157</v>
      </c>
    </row>
    <row r="4" spans="25:26">
      <c r="Y4" t="s">
        <v>165</v>
      </c>
      <c r="Z4" t="s">
        <v>157</v>
      </c>
    </row>
    <row r="5" spans="25:26">
      <c r="Y5" t="s">
        <v>147</v>
      </c>
      <c r="Z5" t="s">
        <v>157</v>
      </c>
    </row>
    <row r="6" spans="25:26">
      <c r="Y6" t="s">
        <v>92</v>
      </c>
      <c r="Z6" t="s">
        <v>157</v>
      </c>
    </row>
    <row r="7" spans="25:26">
      <c r="Y7" t="s">
        <v>99</v>
      </c>
      <c r="Z7" t="s">
        <v>157</v>
      </c>
    </row>
    <row r="8" spans="25:26">
      <c r="Y8" t="s">
        <v>10</v>
      </c>
      <c r="Z8" t="s">
        <v>157</v>
      </c>
    </row>
    <row r="9" spans="25:26">
      <c r="Y9" t="s">
        <v>97</v>
      </c>
      <c r="Z9" t="s">
        <v>157</v>
      </c>
    </row>
    <row r="10" spans="25:26">
      <c r="Y10" t="s">
        <v>15</v>
      </c>
      <c r="Z10" t="s">
        <v>157</v>
      </c>
    </row>
    <row r="11" spans="25:26">
      <c r="Y11" t="s">
        <v>2</v>
      </c>
      <c r="Z11" t="s">
        <v>157</v>
      </c>
    </row>
    <row r="12" spans="25:26">
      <c r="Y12" t="s">
        <v>98</v>
      </c>
      <c r="Z12" t="s">
        <v>157</v>
      </c>
    </row>
    <row r="13" spans="25:26">
      <c r="Y13" t="s">
        <v>25</v>
      </c>
      <c r="Z13" t="s">
        <v>157</v>
      </c>
    </row>
    <row r="14" spans="25:26">
      <c r="Y14" t="s">
        <v>5</v>
      </c>
      <c r="Z14" t="s">
        <v>157</v>
      </c>
    </row>
    <row r="15" spans="25:26">
      <c r="Y15" t="s">
        <v>39</v>
      </c>
      <c r="Z15" t="s">
        <v>157</v>
      </c>
    </row>
    <row r="16" spans="25:26">
      <c r="Y16" t="s">
        <v>36</v>
      </c>
      <c r="Z16" t="s">
        <v>157</v>
      </c>
    </row>
    <row r="17" spans="25:26">
      <c r="Y17" t="s">
        <v>3</v>
      </c>
      <c r="Z17" t="s">
        <v>157</v>
      </c>
    </row>
    <row r="18" spans="25:26">
      <c r="Y18" t="s">
        <v>17</v>
      </c>
      <c r="Z18" t="s">
        <v>157</v>
      </c>
    </row>
    <row r="19" spans="25:26">
      <c r="Y19" t="s">
        <v>16</v>
      </c>
      <c r="Z19" t="s">
        <v>157</v>
      </c>
    </row>
    <row r="20" spans="25:26">
      <c r="Y20" t="s">
        <v>28</v>
      </c>
      <c r="Z20" t="s">
        <v>157</v>
      </c>
    </row>
    <row r="21" spans="25:26">
      <c r="Y21" t="s">
        <v>100</v>
      </c>
      <c r="Z21" t="s">
        <v>157</v>
      </c>
    </row>
    <row r="22" spans="25:26">
      <c r="Y22" t="s">
        <v>128</v>
      </c>
      <c r="Z22" t="s">
        <v>157</v>
      </c>
    </row>
    <row r="23" spans="25:26">
      <c r="Y23" t="s">
        <v>7</v>
      </c>
      <c r="Z23" t="s">
        <v>158</v>
      </c>
    </row>
    <row r="24" spans="25:26">
      <c r="Y24" t="s">
        <v>24</v>
      </c>
      <c r="Z24" t="s">
        <v>158</v>
      </c>
    </row>
    <row r="25" spans="25:26">
      <c r="Y25" t="s">
        <v>18</v>
      </c>
      <c r="Z25" t="s">
        <v>158</v>
      </c>
    </row>
    <row r="26" spans="25:26">
      <c r="Y26" t="s">
        <v>165</v>
      </c>
      <c r="Z26" t="s">
        <v>158</v>
      </c>
    </row>
    <row r="27" spans="25:26">
      <c r="Y27" t="s">
        <v>147</v>
      </c>
      <c r="Z27" t="s">
        <v>158</v>
      </c>
    </row>
    <row r="28" spans="25:26">
      <c r="Y28" t="s">
        <v>92</v>
      </c>
      <c r="Z28" t="s">
        <v>158</v>
      </c>
    </row>
    <row r="29" spans="25:26">
      <c r="Y29" t="s">
        <v>99</v>
      </c>
      <c r="Z29" t="s">
        <v>158</v>
      </c>
    </row>
    <row r="30" spans="25:26">
      <c r="Y30" t="s">
        <v>10</v>
      </c>
      <c r="Z30" t="s">
        <v>158</v>
      </c>
    </row>
    <row r="31" spans="25:26">
      <c r="Y31" t="s">
        <v>97</v>
      </c>
      <c r="Z31" t="s">
        <v>158</v>
      </c>
    </row>
    <row r="32" spans="25:26">
      <c r="Y32" t="s">
        <v>15</v>
      </c>
      <c r="Z32" t="s">
        <v>158</v>
      </c>
    </row>
    <row r="33" spans="25:26">
      <c r="Y33" t="s">
        <v>2</v>
      </c>
      <c r="Z33" t="s">
        <v>158</v>
      </c>
    </row>
    <row r="34" spans="25:26">
      <c r="Y34" t="s">
        <v>98</v>
      </c>
      <c r="Z34" t="s">
        <v>158</v>
      </c>
    </row>
    <row r="35" spans="25:26">
      <c r="Y35" t="s">
        <v>25</v>
      </c>
      <c r="Z35" t="s">
        <v>158</v>
      </c>
    </row>
    <row r="36" spans="25:26">
      <c r="Y36" t="s">
        <v>5</v>
      </c>
      <c r="Z36" t="s">
        <v>158</v>
      </c>
    </row>
    <row r="37" spans="25:26">
      <c r="Y37" t="s">
        <v>39</v>
      </c>
      <c r="Z37" t="s">
        <v>158</v>
      </c>
    </row>
    <row r="38" spans="25:26">
      <c r="Y38" t="s">
        <v>36</v>
      </c>
      <c r="Z38" t="s">
        <v>158</v>
      </c>
    </row>
    <row r="39" spans="25:26">
      <c r="Y39" t="s">
        <v>3</v>
      </c>
      <c r="Z39" t="s">
        <v>158</v>
      </c>
    </row>
    <row r="40" spans="25:26">
      <c r="Y40" t="s">
        <v>17</v>
      </c>
      <c r="Z40" t="s">
        <v>158</v>
      </c>
    </row>
    <row r="41" spans="25:26">
      <c r="Y41" t="s">
        <v>16</v>
      </c>
      <c r="Z41" t="s">
        <v>158</v>
      </c>
    </row>
    <row r="42" spans="25:26">
      <c r="Y42" t="s">
        <v>28</v>
      </c>
      <c r="Z42" t="s">
        <v>158</v>
      </c>
    </row>
    <row r="43" spans="25:26">
      <c r="Y43" t="s">
        <v>100</v>
      </c>
      <c r="Z43" t="s">
        <v>158</v>
      </c>
    </row>
    <row r="44" spans="25:26">
      <c r="Y44" t="s">
        <v>128</v>
      </c>
      <c r="Z44" t="s">
        <v>158</v>
      </c>
    </row>
    <row r="45" spans="25:26">
      <c r="Y45" t="s">
        <v>7</v>
      </c>
      <c r="Z45" t="s">
        <v>160</v>
      </c>
    </row>
    <row r="46" spans="25:26">
      <c r="Y46" t="s">
        <v>24</v>
      </c>
      <c r="Z46" t="s">
        <v>160</v>
      </c>
    </row>
    <row r="47" spans="25:26">
      <c r="Y47" t="s">
        <v>18</v>
      </c>
      <c r="Z47" t="s">
        <v>159</v>
      </c>
    </row>
    <row r="48" spans="25:26">
      <c r="Y48" t="s">
        <v>165</v>
      </c>
      <c r="Z48" t="s">
        <v>163</v>
      </c>
    </row>
    <row r="49" spans="25:26">
      <c r="Y49" t="s">
        <v>147</v>
      </c>
      <c r="Z49" t="s">
        <v>163</v>
      </c>
    </row>
    <row r="50" spans="25:26">
      <c r="Y50" t="s">
        <v>92</v>
      </c>
      <c r="Z50" t="s">
        <v>163</v>
      </c>
    </row>
    <row r="51" spans="25:26">
      <c r="Y51" t="s">
        <v>99</v>
      </c>
      <c r="Z51" t="s">
        <v>163</v>
      </c>
    </row>
    <row r="52" spans="25:26">
      <c r="Y52" t="s">
        <v>10</v>
      </c>
      <c r="Z52" t="s">
        <v>163</v>
      </c>
    </row>
    <row r="53" spans="25:26">
      <c r="Y53" t="s">
        <v>97</v>
      </c>
      <c r="Z53" t="s">
        <v>163</v>
      </c>
    </row>
    <row r="54" spans="25:26">
      <c r="Y54" t="s">
        <v>15</v>
      </c>
      <c r="Z54" t="s">
        <v>163</v>
      </c>
    </row>
    <row r="55" spans="25:26">
      <c r="Y55" t="s">
        <v>2</v>
      </c>
      <c r="Z55" t="s">
        <v>163</v>
      </c>
    </row>
    <row r="56" spans="25:26">
      <c r="Y56" t="s">
        <v>98</v>
      </c>
      <c r="Z56" t="s">
        <v>163</v>
      </c>
    </row>
    <row r="57" spans="25:26">
      <c r="Y57" t="s">
        <v>25</v>
      </c>
      <c r="Z57" t="s">
        <v>162</v>
      </c>
    </row>
    <row r="58" spans="25:26">
      <c r="Y58" t="s">
        <v>5</v>
      </c>
      <c r="Z58" t="s">
        <v>160</v>
      </c>
    </row>
    <row r="59" spans="25:26">
      <c r="Y59" t="s">
        <v>39</v>
      </c>
      <c r="Z59" t="s">
        <v>159</v>
      </c>
    </row>
    <row r="60" spans="25:26">
      <c r="Y60" t="s">
        <v>36</v>
      </c>
      <c r="Z60" t="s">
        <v>160</v>
      </c>
    </row>
    <row r="61" spans="25:26">
      <c r="Y61" t="s">
        <v>3</v>
      </c>
      <c r="Z61" t="s">
        <v>163</v>
      </c>
    </row>
    <row r="62" spans="25:26">
      <c r="Y62" t="s">
        <v>17</v>
      </c>
      <c r="Z62" t="s">
        <v>164</v>
      </c>
    </row>
    <row r="63" spans="25:26">
      <c r="Y63" t="s">
        <v>16</v>
      </c>
      <c r="Z63" t="s">
        <v>159</v>
      </c>
    </row>
    <row r="64" spans="25:26">
      <c r="Y64" t="s">
        <v>28</v>
      </c>
      <c r="Z64" t="s">
        <v>161</v>
      </c>
    </row>
    <row r="65" spans="25:26">
      <c r="Y65" t="s">
        <v>100</v>
      </c>
      <c r="Z65" t="s">
        <v>161</v>
      </c>
    </row>
    <row r="66" spans="25:26">
      <c r="Y66" t="s">
        <v>128</v>
      </c>
      <c r="Z66" t="s">
        <v>162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 enableFormatConditionsCalculation="0"/>
  <dimension ref="A1:Z67"/>
  <sheetViews>
    <sheetView showRuler="0" workbookViewId="0">
      <selection sqref="A1:XFD16"/>
    </sheetView>
  </sheetViews>
  <sheetFormatPr baseColWidth="10" defaultRowHeight="15" x14ac:dyDescent="0"/>
  <cols>
    <col min="6" max="23" width="10.83203125" customWidth="1"/>
  </cols>
  <sheetData>
    <row r="1" spans="1:26" s="11" customFormat="1">
      <c r="A1" s="11" t="s">
        <v>148</v>
      </c>
      <c r="B1" s="11" t="s">
        <v>0</v>
      </c>
      <c r="C1" s="11">
        <v>43881</v>
      </c>
      <c r="D1" s="11">
        <v>43882</v>
      </c>
      <c r="E1" s="11">
        <v>43883</v>
      </c>
      <c r="F1" s="11">
        <v>43884</v>
      </c>
      <c r="G1" s="11">
        <v>43885</v>
      </c>
      <c r="H1" s="11">
        <v>43886</v>
      </c>
      <c r="I1" s="11">
        <v>43887</v>
      </c>
      <c r="J1" s="11">
        <v>43888</v>
      </c>
      <c r="K1" s="11">
        <v>43889</v>
      </c>
      <c r="L1" s="11">
        <v>43890</v>
      </c>
      <c r="M1" s="11">
        <v>43891</v>
      </c>
      <c r="N1" s="11">
        <v>43892</v>
      </c>
      <c r="O1" s="11">
        <v>43893</v>
      </c>
      <c r="P1" s="11">
        <v>43894</v>
      </c>
      <c r="Q1" s="11">
        <v>43895</v>
      </c>
      <c r="R1" s="11">
        <v>43896</v>
      </c>
      <c r="S1" s="11">
        <v>43897</v>
      </c>
      <c r="T1" s="11">
        <v>43898</v>
      </c>
      <c r="U1" s="11">
        <v>43899</v>
      </c>
      <c r="V1" s="11">
        <v>43900</v>
      </c>
      <c r="W1" s="11">
        <v>43901</v>
      </c>
      <c r="X1" s="11">
        <v>43902</v>
      </c>
      <c r="Y1" s="11">
        <v>43903</v>
      </c>
      <c r="Z1" s="11">
        <v>43904</v>
      </c>
    </row>
    <row r="2" spans="1:26" hidden="1">
      <c r="A2" t="s">
        <v>7</v>
      </c>
      <c r="B2" t="s">
        <v>157</v>
      </c>
      <c r="C2">
        <v>15</v>
      </c>
      <c r="D2">
        <v>15</v>
      </c>
      <c r="E2">
        <v>15</v>
      </c>
      <c r="F2">
        <v>15</v>
      </c>
      <c r="G2">
        <v>15</v>
      </c>
      <c r="H2">
        <v>15</v>
      </c>
      <c r="I2">
        <v>15</v>
      </c>
      <c r="J2">
        <v>15</v>
      </c>
      <c r="K2">
        <v>15</v>
      </c>
      <c r="L2">
        <v>25</v>
      </c>
      <c r="M2">
        <v>27</v>
      </c>
      <c r="N2">
        <v>30</v>
      </c>
      <c r="O2">
        <v>39</v>
      </c>
      <c r="P2">
        <v>52</v>
      </c>
      <c r="Q2">
        <v>55</v>
      </c>
      <c r="R2">
        <v>60</v>
      </c>
      <c r="S2">
        <v>63</v>
      </c>
      <c r="T2">
        <v>76</v>
      </c>
      <c r="U2">
        <v>91</v>
      </c>
      <c r="V2">
        <v>107</v>
      </c>
      <c r="W2">
        <v>128</v>
      </c>
      <c r="X2">
        <v>128</v>
      </c>
      <c r="Y2">
        <v>200</v>
      </c>
    </row>
    <row r="3" spans="1:26" hidden="1">
      <c r="A3" t="s">
        <v>24</v>
      </c>
      <c r="B3" t="s">
        <v>157</v>
      </c>
      <c r="C3">
        <v>0</v>
      </c>
      <c r="D3">
        <v>0</v>
      </c>
      <c r="E3">
        <v>0</v>
      </c>
      <c r="F3">
        <v>0</v>
      </c>
      <c r="G3">
        <v>1</v>
      </c>
      <c r="H3">
        <v>23</v>
      </c>
      <c r="I3">
        <v>33</v>
      </c>
      <c r="J3">
        <v>33</v>
      </c>
      <c r="K3">
        <v>36</v>
      </c>
      <c r="L3">
        <v>41</v>
      </c>
      <c r="M3">
        <v>47</v>
      </c>
      <c r="N3">
        <v>49</v>
      </c>
      <c r="O3">
        <v>49</v>
      </c>
      <c r="P3">
        <v>52</v>
      </c>
      <c r="Q3">
        <v>55</v>
      </c>
      <c r="R3">
        <v>60</v>
      </c>
      <c r="S3">
        <v>85</v>
      </c>
      <c r="T3">
        <v>85</v>
      </c>
      <c r="U3">
        <v>95</v>
      </c>
      <c r="V3">
        <v>110</v>
      </c>
      <c r="W3">
        <v>195</v>
      </c>
      <c r="X3">
        <v>195</v>
      </c>
      <c r="Y3">
        <v>189</v>
      </c>
      <c r="Z3">
        <v>210</v>
      </c>
    </row>
    <row r="4" spans="1:26" hidden="1">
      <c r="A4" t="s">
        <v>18</v>
      </c>
      <c r="B4" t="s">
        <v>157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2</v>
      </c>
      <c r="N4">
        <v>8</v>
      </c>
      <c r="O4">
        <v>13</v>
      </c>
      <c r="P4">
        <v>23</v>
      </c>
      <c r="Q4">
        <v>50</v>
      </c>
      <c r="R4">
        <v>109</v>
      </c>
      <c r="S4">
        <v>169</v>
      </c>
      <c r="T4">
        <v>200</v>
      </c>
      <c r="U4">
        <v>239</v>
      </c>
      <c r="V4">
        <v>267</v>
      </c>
      <c r="W4">
        <v>314</v>
      </c>
      <c r="X4">
        <v>314</v>
      </c>
      <c r="Y4">
        <v>559</v>
      </c>
      <c r="Z4">
        <v>689</v>
      </c>
    </row>
    <row r="5" spans="1:26" hidden="1">
      <c r="A5" t="s">
        <v>165</v>
      </c>
      <c r="B5" t="s">
        <v>157</v>
      </c>
      <c r="C5">
        <v>12635</v>
      </c>
      <c r="D5">
        <v>12888</v>
      </c>
      <c r="E5">
        <v>12917</v>
      </c>
      <c r="F5">
        <v>12938</v>
      </c>
      <c r="G5">
        <v>12954</v>
      </c>
      <c r="H5">
        <v>12968</v>
      </c>
      <c r="I5">
        <v>12979</v>
      </c>
      <c r="J5">
        <v>13004</v>
      </c>
      <c r="K5">
        <v>13014</v>
      </c>
      <c r="L5">
        <v>13019</v>
      </c>
      <c r="M5">
        <v>13025</v>
      </c>
      <c r="N5">
        <v>13033</v>
      </c>
      <c r="O5">
        <v>13044</v>
      </c>
      <c r="P5">
        <v>13054</v>
      </c>
      <c r="Q5">
        <v>13071</v>
      </c>
      <c r="R5">
        <v>13098</v>
      </c>
      <c r="S5">
        <v>13104</v>
      </c>
      <c r="T5">
        <v>13116</v>
      </c>
      <c r="U5">
        <v>13117</v>
      </c>
      <c r="V5">
        <v>13127</v>
      </c>
      <c r="W5">
        <v>13148</v>
      </c>
      <c r="X5">
        <v>13151</v>
      </c>
      <c r="Y5">
        <v>13159</v>
      </c>
    </row>
    <row r="6" spans="1:26" hidden="1">
      <c r="A6" t="s">
        <v>147</v>
      </c>
      <c r="B6" t="s">
        <v>157</v>
      </c>
      <c r="C6">
        <v>62442</v>
      </c>
      <c r="D6">
        <v>62662</v>
      </c>
      <c r="E6">
        <v>64084</v>
      </c>
      <c r="F6">
        <v>64084</v>
      </c>
      <c r="G6">
        <v>64287</v>
      </c>
      <c r="H6">
        <v>64786</v>
      </c>
      <c r="I6">
        <v>65187</v>
      </c>
      <c r="J6">
        <v>65596</v>
      </c>
      <c r="K6">
        <v>65914</v>
      </c>
      <c r="L6">
        <v>66337</v>
      </c>
      <c r="M6">
        <v>66907</v>
      </c>
      <c r="N6">
        <v>67103</v>
      </c>
      <c r="O6">
        <v>67217</v>
      </c>
      <c r="P6">
        <v>67332</v>
      </c>
      <c r="Q6">
        <v>67466</v>
      </c>
      <c r="R6">
        <v>67592</v>
      </c>
      <c r="S6">
        <v>67666</v>
      </c>
      <c r="T6">
        <v>67707</v>
      </c>
      <c r="U6">
        <v>67743</v>
      </c>
      <c r="V6">
        <v>67760</v>
      </c>
      <c r="W6">
        <v>67773</v>
      </c>
      <c r="X6">
        <v>67781</v>
      </c>
      <c r="Y6">
        <v>67786</v>
      </c>
      <c r="Z6" s="3">
        <v>67790</v>
      </c>
    </row>
    <row r="7" spans="1:26" hidden="1">
      <c r="A7" t="s">
        <v>92</v>
      </c>
      <c r="B7" t="s">
        <v>157</v>
      </c>
      <c r="C7">
        <v>634</v>
      </c>
      <c r="D7">
        <v>638</v>
      </c>
      <c r="E7">
        <v>641</v>
      </c>
      <c r="F7">
        <v>698</v>
      </c>
      <c r="G7">
        <v>734</v>
      </c>
      <c r="H7">
        <v>734</v>
      </c>
      <c r="I7">
        <v>754</v>
      </c>
      <c r="J7">
        <v>755</v>
      </c>
      <c r="K7">
        <v>757</v>
      </c>
      <c r="L7">
        <v>749</v>
      </c>
      <c r="M7">
        <v>749</v>
      </c>
      <c r="N7">
        <v>750</v>
      </c>
      <c r="O7">
        <v>751</v>
      </c>
      <c r="P7">
        <v>751</v>
      </c>
      <c r="Q7">
        <v>751</v>
      </c>
      <c r="R7">
        <v>741</v>
      </c>
      <c r="S7">
        <v>741</v>
      </c>
      <c r="T7">
        <v>741</v>
      </c>
      <c r="U7">
        <v>741</v>
      </c>
      <c r="V7">
        <v>742</v>
      </c>
      <c r="W7">
        <v>742</v>
      </c>
      <c r="X7">
        <v>742</v>
      </c>
      <c r="Y7">
        <v>742</v>
      </c>
      <c r="Z7">
        <v>742</v>
      </c>
    </row>
    <row r="8" spans="1:26" hidden="1">
      <c r="A8" t="s">
        <v>99</v>
      </c>
      <c r="B8" t="s">
        <v>157</v>
      </c>
      <c r="C8">
        <v>12</v>
      </c>
      <c r="D8">
        <v>12</v>
      </c>
      <c r="E8">
        <v>12</v>
      </c>
      <c r="F8">
        <v>12</v>
      </c>
      <c r="G8">
        <v>12</v>
      </c>
      <c r="H8">
        <v>14</v>
      </c>
      <c r="I8">
        <v>18</v>
      </c>
      <c r="J8">
        <v>38</v>
      </c>
      <c r="K8">
        <v>57</v>
      </c>
      <c r="L8">
        <v>100</v>
      </c>
      <c r="M8">
        <v>130</v>
      </c>
      <c r="N8">
        <v>191</v>
      </c>
      <c r="O8">
        <v>204</v>
      </c>
      <c r="P8">
        <v>288</v>
      </c>
      <c r="Q8">
        <v>380</v>
      </c>
      <c r="R8">
        <v>656</v>
      </c>
      <c r="S8">
        <v>952</v>
      </c>
      <c r="T8">
        <v>1129</v>
      </c>
      <c r="U8">
        <v>1212</v>
      </c>
      <c r="V8">
        <v>1787</v>
      </c>
      <c r="W8">
        <v>2284</v>
      </c>
      <c r="X8">
        <v>2284</v>
      </c>
      <c r="Y8">
        <v>3667</v>
      </c>
      <c r="Z8">
        <f>4469+6+5</f>
        <v>4480</v>
      </c>
    </row>
    <row r="9" spans="1:26" hidden="1">
      <c r="A9" t="s">
        <v>10</v>
      </c>
      <c r="B9" t="s">
        <v>157</v>
      </c>
      <c r="C9">
        <v>16</v>
      </c>
      <c r="D9">
        <v>16</v>
      </c>
      <c r="E9">
        <v>16</v>
      </c>
      <c r="F9">
        <v>16</v>
      </c>
      <c r="G9">
        <v>16</v>
      </c>
      <c r="H9">
        <v>17</v>
      </c>
      <c r="I9">
        <v>27</v>
      </c>
      <c r="J9">
        <v>46</v>
      </c>
      <c r="K9">
        <v>48</v>
      </c>
      <c r="L9">
        <v>79</v>
      </c>
      <c r="M9">
        <v>130</v>
      </c>
      <c r="N9">
        <v>159</v>
      </c>
      <c r="O9">
        <v>196</v>
      </c>
      <c r="P9">
        <v>262</v>
      </c>
      <c r="Q9">
        <v>482</v>
      </c>
      <c r="R9">
        <v>670</v>
      </c>
      <c r="S9">
        <v>799</v>
      </c>
      <c r="T9">
        <v>1040</v>
      </c>
      <c r="U9">
        <v>1176</v>
      </c>
      <c r="V9">
        <v>1457</v>
      </c>
      <c r="W9">
        <v>1908</v>
      </c>
      <c r="X9">
        <v>2078</v>
      </c>
      <c r="Y9">
        <v>3675</v>
      </c>
      <c r="Z9">
        <v>4585</v>
      </c>
    </row>
    <row r="10" spans="1:26" ht="17" hidden="1">
      <c r="A10" t="s">
        <v>97</v>
      </c>
      <c r="B10" t="s">
        <v>157</v>
      </c>
      <c r="C10">
        <v>5</v>
      </c>
      <c r="D10">
        <v>18</v>
      </c>
      <c r="E10">
        <v>28</v>
      </c>
      <c r="F10">
        <v>43</v>
      </c>
      <c r="G10">
        <v>61</v>
      </c>
      <c r="H10">
        <v>95</v>
      </c>
      <c r="I10">
        <v>139</v>
      </c>
      <c r="J10">
        <v>245</v>
      </c>
      <c r="K10">
        <v>388</v>
      </c>
      <c r="L10">
        <v>593</v>
      </c>
      <c r="M10">
        <v>978</v>
      </c>
      <c r="N10">
        <v>1501</v>
      </c>
      <c r="O10">
        <v>2336</v>
      </c>
      <c r="P10">
        <v>2922</v>
      </c>
      <c r="Q10">
        <v>3513</v>
      </c>
      <c r="R10">
        <v>4747</v>
      </c>
      <c r="S10">
        <v>5823</v>
      </c>
      <c r="T10">
        <v>6566</v>
      </c>
      <c r="U10">
        <v>7161</v>
      </c>
      <c r="V10">
        <v>8042</v>
      </c>
      <c r="W10">
        <v>9000</v>
      </c>
      <c r="X10">
        <v>10075</v>
      </c>
      <c r="Y10">
        <v>11364</v>
      </c>
      <c r="Z10" s="12">
        <v>11364</v>
      </c>
    </row>
    <row r="11" spans="1:26">
      <c r="A11" t="s">
        <v>15</v>
      </c>
      <c r="B11" t="s">
        <v>157</v>
      </c>
      <c r="C11">
        <v>3</v>
      </c>
      <c r="D11">
        <v>20</v>
      </c>
      <c r="E11">
        <v>62</v>
      </c>
      <c r="F11">
        <v>155</v>
      </c>
      <c r="G11">
        <v>229</v>
      </c>
      <c r="H11">
        <v>322</v>
      </c>
      <c r="I11">
        <v>453</v>
      </c>
      <c r="J11">
        <v>655</v>
      </c>
      <c r="K11">
        <v>888</v>
      </c>
      <c r="L11">
        <v>1128</v>
      </c>
      <c r="M11">
        <v>1694</v>
      </c>
      <c r="N11">
        <v>2036</v>
      </c>
      <c r="O11">
        <v>2502</v>
      </c>
      <c r="P11">
        <v>3089</v>
      </c>
      <c r="Q11">
        <v>3858</v>
      </c>
      <c r="R11">
        <v>4636</v>
      </c>
      <c r="S11">
        <v>5883</v>
      </c>
      <c r="T11">
        <v>7375</v>
      </c>
      <c r="U11">
        <v>9172</v>
      </c>
      <c r="V11">
        <v>10149</v>
      </c>
      <c r="W11">
        <v>12462</v>
      </c>
      <c r="X11">
        <v>12462</v>
      </c>
      <c r="Y11">
        <v>17660</v>
      </c>
      <c r="Z11">
        <v>21157</v>
      </c>
    </row>
    <row r="12" spans="1:26" ht="17" hidden="1">
      <c r="A12" t="s">
        <v>2</v>
      </c>
      <c r="B12" t="s">
        <v>157</v>
      </c>
      <c r="C12">
        <v>94</v>
      </c>
      <c r="D12">
        <v>105</v>
      </c>
      <c r="E12">
        <v>122</v>
      </c>
      <c r="F12">
        <v>147</v>
      </c>
      <c r="G12">
        <v>159</v>
      </c>
      <c r="H12">
        <v>170</v>
      </c>
      <c r="I12">
        <v>189</v>
      </c>
      <c r="J12">
        <v>214</v>
      </c>
      <c r="K12">
        <v>228</v>
      </c>
      <c r="L12">
        <v>241</v>
      </c>
      <c r="M12">
        <v>256</v>
      </c>
      <c r="N12">
        <v>274</v>
      </c>
      <c r="O12">
        <v>293</v>
      </c>
      <c r="P12">
        <v>331</v>
      </c>
      <c r="Q12">
        <v>360</v>
      </c>
      <c r="R12">
        <v>420</v>
      </c>
      <c r="S12">
        <v>461</v>
      </c>
      <c r="T12">
        <v>502</v>
      </c>
      <c r="U12">
        <v>511</v>
      </c>
      <c r="V12">
        <v>581</v>
      </c>
      <c r="W12">
        <v>639</v>
      </c>
      <c r="X12">
        <v>639</v>
      </c>
      <c r="Y12">
        <v>701</v>
      </c>
      <c r="Z12" s="12">
        <v>737</v>
      </c>
    </row>
    <row r="13" spans="1:26" hidden="1">
      <c r="A13" t="s">
        <v>98</v>
      </c>
      <c r="B13" t="s">
        <v>157</v>
      </c>
      <c r="C13">
        <v>104</v>
      </c>
      <c r="D13">
        <v>204</v>
      </c>
      <c r="E13">
        <v>433</v>
      </c>
      <c r="F13">
        <v>602</v>
      </c>
      <c r="G13">
        <v>833</v>
      </c>
      <c r="H13">
        <v>977</v>
      </c>
      <c r="I13">
        <v>1261</v>
      </c>
      <c r="J13">
        <v>1766</v>
      </c>
      <c r="K13">
        <v>2337</v>
      </c>
      <c r="L13">
        <v>3150</v>
      </c>
      <c r="M13">
        <v>3736</v>
      </c>
      <c r="N13">
        <v>4335</v>
      </c>
      <c r="O13">
        <v>5186</v>
      </c>
      <c r="P13">
        <v>5621</v>
      </c>
      <c r="Q13">
        <v>6088</v>
      </c>
      <c r="R13">
        <v>6593</v>
      </c>
      <c r="S13">
        <v>7041</v>
      </c>
      <c r="T13">
        <v>7314</v>
      </c>
      <c r="U13">
        <v>7478</v>
      </c>
      <c r="V13">
        <v>7513</v>
      </c>
      <c r="W13">
        <v>7755</v>
      </c>
      <c r="X13">
        <v>7869</v>
      </c>
      <c r="Y13">
        <v>7979</v>
      </c>
      <c r="Z13">
        <v>8086</v>
      </c>
    </row>
    <row r="14" spans="1:26" ht="17" hidden="1">
      <c r="A14" t="s">
        <v>25</v>
      </c>
      <c r="B14" t="s">
        <v>157</v>
      </c>
      <c r="C14">
        <v>0</v>
      </c>
      <c r="D14">
        <v>0</v>
      </c>
      <c r="E14">
        <v>0</v>
      </c>
      <c r="F14">
        <v>0</v>
      </c>
      <c r="G14">
        <v>1</v>
      </c>
      <c r="H14">
        <v>11</v>
      </c>
      <c r="I14">
        <v>26</v>
      </c>
      <c r="J14">
        <v>43</v>
      </c>
      <c r="K14">
        <v>45</v>
      </c>
      <c r="L14">
        <v>45</v>
      </c>
      <c r="M14">
        <v>45</v>
      </c>
      <c r="N14">
        <v>56</v>
      </c>
      <c r="O14">
        <v>56</v>
      </c>
      <c r="P14">
        <v>56</v>
      </c>
      <c r="Q14">
        <v>58</v>
      </c>
      <c r="R14">
        <v>58</v>
      </c>
      <c r="S14">
        <v>61</v>
      </c>
      <c r="T14">
        <v>64</v>
      </c>
      <c r="U14">
        <v>64</v>
      </c>
      <c r="V14">
        <v>69</v>
      </c>
      <c r="W14">
        <v>72</v>
      </c>
      <c r="X14">
        <v>80</v>
      </c>
      <c r="Y14">
        <v>80</v>
      </c>
      <c r="Z14" s="12">
        <v>104</v>
      </c>
    </row>
    <row r="15" spans="1:26" hidden="1">
      <c r="A15" t="s">
        <v>5</v>
      </c>
      <c r="B15" t="s">
        <v>157</v>
      </c>
      <c r="C15">
        <v>22</v>
      </c>
      <c r="D15">
        <v>22</v>
      </c>
      <c r="E15">
        <v>22</v>
      </c>
      <c r="F15">
        <v>22</v>
      </c>
      <c r="G15">
        <v>22</v>
      </c>
      <c r="H15">
        <v>22</v>
      </c>
      <c r="I15">
        <v>22</v>
      </c>
      <c r="J15">
        <v>23</v>
      </c>
      <c r="K15">
        <v>23</v>
      </c>
      <c r="L15">
        <v>25</v>
      </c>
      <c r="M15">
        <v>29</v>
      </c>
      <c r="N15">
        <v>29</v>
      </c>
      <c r="O15">
        <v>36</v>
      </c>
      <c r="P15">
        <v>50</v>
      </c>
      <c r="Q15">
        <v>50</v>
      </c>
      <c r="R15">
        <v>83</v>
      </c>
      <c r="S15">
        <v>93</v>
      </c>
      <c r="T15">
        <v>99</v>
      </c>
      <c r="U15">
        <v>117</v>
      </c>
      <c r="V15">
        <v>129</v>
      </c>
      <c r="W15">
        <v>149</v>
      </c>
      <c r="X15">
        <v>149</v>
      </c>
      <c r="Y15">
        <v>197</v>
      </c>
      <c r="Z15">
        <v>238</v>
      </c>
    </row>
    <row r="16" spans="1:26" ht="17">
      <c r="A16" t="s">
        <v>39</v>
      </c>
      <c r="B16" t="s">
        <v>157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1</v>
      </c>
      <c r="L16">
        <v>6</v>
      </c>
      <c r="M16">
        <v>10</v>
      </c>
      <c r="N16">
        <v>18</v>
      </c>
      <c r="O16">
        <v>24</v>
      </c>
      <c r="P16">
        <v>38</v>
      </c>
      <c r="Q16">
        <v>82</v>
      </c>
      <c r="R16">
        <v>128</v>
      </c>
      <c r="S16">
        <v>188</v>
      </c>
      <c r="T16">
        <v>265</v>
      </c>
      <c r="U16">
        <v>321</v>
      </c>
      <c r="V16">
        <v>382</v>
      </c>
      <c r="W16">
        <v>503</v>
      </c>
      <c r="X16">
        <v>503</v>
      </c>
      <c r="Y16">
        <v>804</v>
      </c>
      <c r="Z16" s="12">
        <v>959</v>
      </c>
    </row>
    <row r="17" spans="1:26" hidden="1">
      <c r="A17" t="s">
        <v>36</v>
      </c>
      <c r="B17" t="s">
        <v>157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1</v>
      </c>
      <c r="K17">
        <v>6</v>
      </c>
      <c r="L17">
        <v>15</v>
      </c>
      <c r="M17">
        <v>19</v>
      </c>
      <c r="N17">
        <v>25</v>
      </c>
      <c r="O17">
        <v>32</v>
      </c>
      <c r="P17">
        <v>56</v>
      </c>
      <c r="Q17">
        <v>87</v>
      </c>
      <c r="R17">
        <v>108</v>
      </c>
      <c r="S17">
        <v>147</v>
      </c>
      <c r="T17">
        <v>176</v>
      </c>
      <c r="U17">
        <v>205</v>
      </c>
      <c r="V17">
        <v>400</v>
      </c>
      <c r="W17">
        <v>598</v>
      </c>
      <c r="X17">
        <v>702</v>
      </c>
      <c r="Y17">
        <v>996</v>
      </c>
      <c r="Z17">
        <v>1090</v>
      </c>
    </row>
    <row r="18" spans="1:26" ht="17" hidden="1">
      <c r="A18" t="s">
        <v>3</v>
      </c>
      <c r="B18" t="s">
        <v>157</v>
      </c>
      <c r="C18">
        <v>84</v>
      </c>
      <c r="D18">
        <v>85</v>
      </c>
      <c r="E18">
        <v>85</v>
      </c>
      <c r="F18">
        <v>89</v>
      </c>
      <c r="G18">
        <v>89</v>
      </c>
      <c r="H18">
        <v>91</v>
      </c>
      <c r="I18">
        <v>93</v>
      </c>
      <c r="J18">
        <v>93</v>
      </c>
      <c r="K18">
        <v>93</v>
      </c>
      <c r="L18">
        <v>102</v>
      </c>
      <c r="M18">
        <v>106</v>
      </c>
      <c r="N18">
        <v>108</v>
      </c>
      <c r="O18">
        <v>110</v>
      </c>
      <c r="P18">
        <v>110</v>
      </c>
      <c r="Q18">
        <v>117</v>
      </c>
      <c r="R18">
        <v>130</v>
      </c>
      <c r="S18">
        <v>138</v>
      </c>
      <c r="T18">
        <v>150</v>
      </c>
      <c r="U18">
        <v>150</v>
      </c>
      <c r="V18">
        <v>160</v>
      </c>
      <c r="W18">
        <v>178</v>
      </c>
      <c r="X18">
        <v>178</v>
      </c>
      <c r="Y18">
        <v>200</v>
      </c>
      <c r="Z18" s="12">
        <v>212</v>
      </c>
    </row>
    <row r="19" spans="1:26" hidden="1">
      <c r="A19" t="s">
        <v>17</v>
      </c>
      <c r="B19" t="s">
        <v>157</v>
      </c>
      <c r="C19">
        <v>2</v>
      </c>
      <c r="D19">
        <v>2</v>
      </c>
      <c r="E19">
        <v>2</v>
      </c>
      <c r="F19">
        <v>2</v>
      </c>
      <c r="G19">
        <v>2</v>
      </c>
      <c r="H19">
        <v>6</v>
      </c>
      <c r="I19">
        <v>13</v>
      </c>
      <c r="J19">
        <v>15</v>
      </c>
      <c r="K19">
        <v>32</v>
      </c>
      <c r="L19">
        <v>45</v>
      </c>
      <c r="M19">
        <v>84</v>
      </c>
      <c r="N19">
        <v>120</v>
      </c>
      <c r="O19">
        <v>165</v>
      </c>
      <c r="P19">
        <v>222</v>
      </c>
      <c r="Q19">
        <v>259</v>
      </c>
      <c r="R19">
        <v>400</v>
      </c>
      <c r="S19">
        <v>500</v>
      </c>
      <c r="T19">
        <v>673</v>
      </c>
      <c r="U19">
        <v>1073</v>
      </c>
      <c r="V19">
        <v>1695</v>
      </c>
      <c r="W19">
        <v>2277</v>
      </c>
      <c r="X19">
        <v>2277</v>
      </c>
      <c r="Y19">
        <v>5232</v>
      </c>
      <c r="Z19">
        <v>6391</v>
      </c>
    </row>
    <row r="20" spans="1:26" ht="17" hidden="1">
      <c r="A20" t="s">
        <v>16</v>
      </c>
      <c r="B20" t="s">
        <v>157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2</v>
      </c>
      <c r="J20">
        <v>7</v>
      </c>
      <c r="K20">
        <v>7</v>
      </c>
      <c r="L20">
        <v>12</v>
      </c>
      <c r="M20">
        <v>14</v>
      </c>
      <c r="N20">
        <v>15</v>
      </c>
      <c r="O20">
        <v>21</v>
      </c>
      <c r="P20">
        <v>35</v>
      </c>
      <c r="Q20">
        <v>94</v>
      </c>
      <c r="R20">
        <v>101</v>
      </c>
      <c r="S20">
        <v>161</v>
      </c>
      <c r="T20">
        <v>203</v>
      </c>
      <c r="U20">
        <v>248</v>
      </c>
      <c r="V20">
        <v>355</v>
      </c>
      <c r="W20">
        <v>500</v>
      </c>
      <c r="X20">
        <v>599</v>
      </c>
      <c r="Y20">
        <v>814</v>
      </c>
      <c r="Z20" s="12">
        <v>961</v>
      </c>
    </row>
    <row r="21" spans="1:26" hidden="1">
      <c r="A21" t="s">
        <v>28</v>
      </c>
      <c r="B21" t="s">
        <v>157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8</v>
      </c>
      <c r="K21">
        <v>8</v>
      </c>
      <c r="L21">
        <v>18</v>
      </c>
      <c r="M21">
        <v>27</v>
      </c>
      <c r="N21">
        <v>42</v>
      </c>
      <c r="O21">
        <v>56</v>
      </c>
      <c r="P21">
        <v>90</v>
      </c>
      <c r="Q21">
        <v>114</v>
      </c>
      <c r="R21">
        <v>214</v>
      </c>
      <c r="S21">
        <v>268</v>
      </c>
      <c r="T21">
        <v>337</v>
      </c>
      <c r="U21">
        <v>374</v>
      </c>
      <c r="V21">
        <v>491</v>
      </c>
      <c r="W21">
        <v>652</v>
      </c>
      <c r="X21">
        <v>652</v>
      </c>
      <c r="Y21">
        <v>1139</v>
      </c>
      <c r="Z21">
        <v>1359</v>
      </c>
    </row>
    <row r="22" spans="1:26" ht="17" hidden="1">
      <c r="A22" t="s">
        <v>100</v>
      </c>
      <c r="B22" t="s">
        <v>157</v>
      </c>
      <c r="C22">
        <v>9</v>
      </c>
      <c r="D22">
        <v>9</v>
      </c>
      <c r="E22">
        <v>9</v>
      </c>
      <c r="F22">
        <v>9</v>
      </c>
      <c r="G22">
        <v>13</v>
      </c>
      <c r="H22">
        <v>13</v>
      </c>
      <c r="I22">
        <v>13</v>
      </c>
      <c r="J22">
        <v>15</v>
      </c>
      <c r="K22">
        <v>20</v>
      </c>
      <c r="L22">
        <v>23</v>
      </c>
      <c r="M22">
        <v>36</v>
      </c>
      <c r="N22">
        <v>40</v>
      </c>
      <c r="O22">
        <v>51</v>
      </c>
      <c r="P22">
        <v>86</v>
      </c>
      <c r="Q22">
        <v>116</v>
      </c>
      <c r="R22">
        <v>164</v>
      </c>
      <c r="S22">
        <v>207</v>
      </c>
      <c r="T22">
        <v>274</v>
      </c>
      <c r="U22">
        <v>322</v>
      </c>
      <c r="V22">
        <v>384</v>
      </c>
      <c r="W22">
        <v>459</v>
      </c>
      <c r="X22">
        <v>459</v>
      </c>
      <c r="Y22">
        <v>801</v>
      </c>
      <c r="Z22" s="12">
        <v>1143</v>
      </c>
    </row>
    <row r="23" spans="1:26" hidden="1">
      <c r="A23" t="s">
        <v>128</v>
      </c>
      <c r="B23" t="s">
        <v>157</v>
      </c>
      <c r="C23">
        <v>13</v>
      </c>
      <c r="D23">
        <v>15</v>
      </c>
      <c r="E23">
        <v>15</v>
      </c>
      <c r="F23">
        <v>15</v>
      </c>
      <c r="G23">
        <v>15</v>
      </c>
      <c r="H23">
        <v>15</v>
      </c>
      <c r="I23">
        <v>15</v>
      </c>
      <c r="J23">
        <v>16</v>
      </c>
      <c r="K23">
        <v>16</v>
      </c>
      <c r="L23">
        <v>24</v>
      </c>
      <c r="M23">
        <v>30</v>
      </c>
      <c r="N23">
        <v>53</v>
      </c>
      <c r="O23">
        <v>73</v>
      </c>
      <c r="P23">
        <v>104</v>
      </c>
      <c r="Q23">
        <v>172</v>
      </c>
      <c r="R23">
        <v>217</v>
      </c>
      <c r="S23">
        <v>357</v>
      </c>
      <c r="T23">
        <v>473</v>
      </c>
      <c r="U23">
        <v>538</v>
      </c>
      <c r="V23">
        <v>913</v>
      </c>
      <c r="W23">
        <v>1235</v>
      </c>
      <c r="X23">
        <v>1617</v>
      </c>
      <c r="Y23">
        <v>2133</v>
      </c>
    </row>
    <row r="24" spans="1:26" hidden="1">
      <c r="A24" t="s">
        <v>7</v>
      </c>
      <c r="B24" t="s">
        <v>158</v>
      </c>
      <c r="T24">
        <v>66.150000000000006</v>
      </c>
      <c r="U24">
        <v>69.45750000000001</v>
      </c>
      <c r="V24">
        <v>72.930375000000012</v>
      </c>
      <c r="W24">
        <v>76.576893750000011</v>
      </c>
      <c r="X24">
        <v>80.40573843750002</v>
      </c>
      <c r="Y24">
        <v>84.426025359375018</v>
      </c>
      <c r="Z24">
        <v>88.647326627343773</v>
      </c>
    </row>
    <row r="25" spans="1:26" hidden="1">
      <c r="A25" t="s">
        <v>24</v>
      </c>
      <c r="B25" t="s">
        <v>158</v>
      </c>
      <c r="T25">
        <v>120.41666666666667</v>
      </c>
      <c r="U25">
        <v>170.5902777777778</v>
      </c>
      <c r="V25">
        <v>241.66956018518522</v>
      </c>
      <c r="W25">
        <v>342.36521026234573</v>
      </c>
      <c r="X25">
        <v>485.01738120498982</v>
      </c>
      <c r="Y25">
        <v>687.10795670706898</v>
      </c>
      <c r="Z25">
        <v>973.40293866834782</v>
      </c>
    </row>
    <row r="26" spans="1:26" hidden="1">
      <c r="A26" t="s">
        <v>18</v>
      </c>
      <c r="B26" t="s">
        <v>158</v>
      </c>
      <c r="T26">
        <v>262.02752293577981</v>
      </c>
      <c r="U26">
        <v>406.26285666189716</v>
      </c>
      <c r="V26">
        <v>629.89378693450112</v>
      </c>
      <c r="W26">
        <v>976.62431185257515</v>
      </c>
      <c r="X26">
        <v>1514.2156761750937</v>
      </c>
      <c r="Y26">
        <v>2347.7288924182644</v>
      </c>
      <c r="Z26">
        <v>3640.0567231072173</v>
      </c>
    </row>
    <row r="27" spans="1:26" hidden="1">
      <c r="A27" t="s">
        <v>165</v>
      </c>
      <c r="B27" t="s">
        <v>158</v>
      </c>
      <c r="T27">
        <v>13110.002748511222</v>
      </c>
      <c r="U27">
        <v>13116.00824679272</v>
      </c>
      <c r="V27">
        <v>13122.016496104123</v>
      </c>
      <c r="W27">
        <v>13128.027497705636</v>
      </c>
      <c r="X27">
        <v>13134.041252858042</v>
      </c>
      <c r="Y27">
        <v>13140.057762822704</v>
      </c>
      <c r="Z27">
        <v>13146.077028861559</v>
      </c>
    </row>
    <row r="28" spans="1:26" hidden="1">
      <c r="A28" t="s">
        <v>147</v>
      </c>
      <c r="B28" t="s">
        <v>158</v>
      </c>
      <c r="T28">
        <v>67740.081015504795</v>
      </c>
      <c r="U28">
        <v>67814.24313521049</v>
      </c>
      <c r="V28">
        <v>67888.486447910298</v>
      </c>
      <c r="W28">
        <v>67962.81104249465</v>
      </c>
      <c r="X28">
        <v>68037.217007951273</v>
      </c>
      <c r="Y28">
        <v>68111.704433365347</v>
      </c>
      <c r="Z28">
        <v>68186.273407919565</v>
      </c>
    </row>
    <row r="29" spans="1:26" hidden="1">
      <c r="A29" t="s">
        <v>92</v>
      </c>
      <c r="B29" t="s">
        <v>158</v>
      </c>
      <c r="T29">
        <v>741</v>
      </c>
      <c r="U29">
        <v>741</v>
      </c>
      <c r="V29">
        <v>741</v>
      </c>
      <c r="W29">
        <v>741</v>
      </c>
      <c r="X29">
        <v>741</v>
      </c>
      <c r="Y29">
        <v>741</v>
      </c>
      <c r="Z29">
        <v>741</v>
      </c>
    </row>
    <row r="30" spans="1:26" hidden="1">
      <c r="A30" t="s">
        <v>99</v>
      </c>
      <c r="B30" t="s">
        <v>158</v>
      </c>
      <c r="T30">
        <v>1381.560975609756</v>
      </c>
      <c r="U30">
        <v>2004.9482450922069</v>
      </c>
      <c r="V30">
        <v>2909.6200142191783</v>
      </c>
      <c r="W30">
        <v>4222.4973377083197</v>
      </c>
      <c r="X30">
        <v>6127.7705266742687</v>
      </c>
      <c r="Y30">
        <v>8892.7401545638768</v>
      </c>
      <c r="Z30">
        <v>12905.318029184162</v>
      </c>
    </row>
    <row r="31" spans="1:26" hidden="1">
      <c r="A31" t="s">
        <v>10</v>
      </c>
      <c r="B31" t="s">
        <v>158</v>
      </c>
      <c r="T31">
        <v>952.83731343283591</v>
      </c>
      <c r="U31">
        <v>1136.294049899755</v>
      </c>
      <c r="V31">
        <v>1355.0730535371706</v>
      </c>
      <c r="W31">
        <v>1615.9751787704467</v>
      </c>
      <c r="X31">
        <v>1927.1106982650551</v>
      </c>
      <c r="Y31">
        <v>2298.1514147966855</v>
      </c>
      <c r="Z31">
        <v>2740.6313140635102</v>
      </c>
    </row>
    <row r="32" spans="1:26" hidden="1">
      <c r="A32" t="s">
        <v>97</v>
      </c>
      <c r="B32" t="s">
        <v>158</v>
      </c>
      <c r="T32">
        <v>7142.8963555930068</v>
      </c>
      <c r="U32">
        <v>8761.9729257674499</v>
      </c>
      <c r="V32">
        <v>10748.044732829969</v>
      </c>
      <c r="W32">
        <v>13184.298394621637</v>
      </c>
      <c r="X32">
        <v>16172.776396014704</v>
      </c>
      <c r="Y32">
        <v>19838.651138401859</v>
      </c>
      <c r="Z32">
        <v>24335.467785741319</v>
      </c>
    </row>
    <row r="33" spans="1:26">
      <c r="A33" t="s">
        <v>15</v>
      </c>
      <c r="B33" t="s">
        <v>158</v>
      </c>
      <c r="T33">
        <v>7465.4204055220016</v>
      </c>
      <c r="U33">
        <v>9473.4832281462332</v>
      </c>
      <c r="V33">
        <v>12021.678565829226</v>
      </c>
      <c r="W33">
        <v>15255.292278423931</v>
      </c>
      <c r="X33">
        <v>19358.689489639342</v>
      </c>
      <c r="Y33">
        <v>24565.826200937932</v>
      </c>
      <c r="Z33">
        <v>31173.58833911084</v>
      </c>
    </row>
    <row r="34" spans="1:26" hidden="1">
      <c r="A34" t="s">
        <v>2</v>
      </c>
      <c r="B34" t="s">
        <v>158</v>
      </c>
      <c r="T34">
        <v>506.00238095238097</v>
      </c>
      <c r="U34">
        <v>555.39785147392297</v>
      </c>
      <c r="V34">
        <v>609.61526078447264</v>
      </c>
      <c r="W34">
        <v>669.12532195629024</v>
      </c>
      <c r="X34">
        <v>734.44469862345193</v>
      </c>
      <c r="Y34">
        <v>806.14049063193181</v>
      </c>
      <c r="Z34">
        <v>884.8351575745728</v>
      </c>
    </row>
    <row r="35" spans="1:26" hidden="1">
      <c r="A35" t="s">
        <v>98</v>
      </c>
      <c r="B35" t="s">
        <v>158</v>
      </c>
      <c r="T35">
        <v>7519.4419839223419</v>
      </c>
      <c r="U35">
        <v>8030.3945106624005</v>
      </c>
      <c r="V35">
        <v>8576.0666994651838</v>
      </c>
      <c r="W35">
        <v>9158.8177811215464</v>
      </c>
      <c r="X35">
        <v>9781.1672981763695</v>
      </c>
      <c r="Y35">
        <v>10445.805998249631</v>
      </c>
      <c r="Z35">
        <v>11155.607467567974</v>
      </c>
    </row>
    <row r="36" spans="1:26" hidden="1">
      <c r="A36" t="s">
        <v>25</v>
      </c>
      <c r="B36" t="s">
        <v>158</v>
      </c>
      <c r="T36">
        <v>64.155172413793096</v>
      </c>
      <c r="U36">
        <v>67.473543400713424</v>
      </c>
      <c r="V36">
        <v>70.963554266267565</v>
      </c>
      <c r="W36">
        <v>74.634082935212433</v>
      </c>
      <c r="X36">
        <v>78.494466535309627</v>
      </c>
      <c r="Y36">
        <v>82.554525149204949</v>
      </c>
      <c r="Z36">
        <v>86.824586794853474</v>
      </c>
    </row>
    <row r="37" spans="1:26" hidden="1">
      <c r="A37" t="s">
        <v>5</v>
      </c>
      <c r="B37" t="s">
        <v>158</v>
      </c>
      <c r="T37">
        <v>104.20481927710843</v>
      </c>
      <c r="U37">
        <v>116.7596167803745</v>
      </c>
      <c r="V37">
        <v>130.82704048885336</v>
      </c>
      <c r="W37">
        <v>146.58933452365497</v>
      </c>
      <c r="X37">
        <v>164.25070012891459</v>
      </c>
      <c r="Y37">
        <v>184.03994110830189</v>
      </c>
      <c r="Z37">
        <v>206.21342798882017</v>
      </c>
    </row>
    <row r="38" spans="1:26">
      <c r="A38" t="s">
        <v>39</v>
      </c>
      <c r="B38" t="s">
        <v>158</v>
      </c>
      <c r="T38">
        <v>276.125</v>
      </c>
      <c r="U38">
        <v>405.55859375</v>
      </c>
      <c r="V38">
        <v>595.6641845703125</v>
      </c>
      <c r="W38">
        <v>874.88177108764648</v>
      </c>
      <c r="X38">
        <v>1284.9826012849808</v>
      </c>
      <c r="Y38">
        <v>1887.3181956373155</v>
      </c>
      <c r="Z38">
        <v>2771.9985998423072</v>
      </c>
    </row>
    <row r="39" spans="1:26" hidden="1">
      <c r="A39" t="s">
        <v>36</v>
      </c>
      <c r="B39" t="s">
        <v>158</v>
      </c>
      <c r="T39">
        <v>200.08333333333334</v>
      </c>
      <c r="U39">
        <v>272.33564814814815</v>
      </c>
      <c r="V39">
        <v>370.67907664609055</v>
      </c>
      <c r="W39">
        <v>504.53540987940107</v>
      </c>
      <c r="X39">
        <v>686.72875233585148</v>
      </c>
      <c r="Y39">
        <v>934.71413512379786</v>
      </c>
      <c r="Z39">
        <v>1272.2497950296138</v>
      </c>
    </row>
    <row r="40" spans="1:26" hidden="1">
      <c r="A40" t="s">
        <v>3</v>
      </c>
      <c r="B40" t="s">
        <v>158</v>
      </c>
      <c r="T40">
        <v>146.49230769230769</v>
      </c>
      <c r="U40">
        <v>155.50721893491124</v>
      </c>
      <c r="V40">
        <v>165.0768939462904</v>
      </c>
      <c r="W40">
        <v>175.23547203529287</v>
      </c>
      <c r="X40">
        <v>186.01919339131089</v>
      </c>
      <c r="Y40">
        <v>197.46652836923772</v>
      </c>
      <c r="Z40">
        <v>209.61831473042159</v>
      </c>
    </row>
    <row r="41" spans="1:26" hidden="1">
      <c r="A41" t="s">
        <v>17</v>
      </c>
      <c r="B41" t="s">
        <v>158</v>
      </c>
      <c r="T41">
        <v>625</v>
      </c>
      <c r="U41">
        <v>781.25</v>
      </c>
      <c r="V41">
        <v>976.5625</v>
      </c>
      <c r="W41">
        <v>1220.703125</v>
      </c>
      <c r="X41">
        <v>1525.87890625</v>
      </c>
      <c r="Y41">
        <v>1907.3486328125</v>
      </c>
      <c r="Z41">
        <v>2384.185791015625</v>
      </c>
    </row>
    <row r="42" spans="1:26" hidden="1">
      <c r="A42" t="s">
        <v>16</v>
      </c>
      <c r="B42" t="s">
        <v>158</v>
      </c>
      <c r="T42">
        <v>256.64356435643566</v>
      </c>
      <c r="U42">
        <v>409.10508773649644</v>
      </c>
      <c r="V42">
        <v>652.1378131245142</v>
      </c>
      <c r="W42">
        <v>1039.5464149806612</v>
      </c>
      <c r="X42">
        <v>1657.0987407117473</v>
      </c>
      <c r="Y42">
        <v>2641.5138342038745</v>
      </c>
      <c r="Z42">
        <v>4210.7299733348891</v>
      </c>
    </row>
    <row r="43" spans="1:26" hidden="1">
      <c r="A43" t="s">
        <v>28</v>
      </c>
      <c r="B43" t="s">
        <v>158</v>
      </c>
      <c r="T43">
        <v>335.62616822429902</v>
      </c>
      <c r="U43">
        <v>420.31688357061745</v>
      </c>
      <c r="V43">
        <v>526.37815325666111</v>
      </c>
      <c r="W43">
        <v>659.20254706908952</v>
      </c>
      <c r="X43">
        <v>825.54337670334564</v>
      </c>
      <c r="Y43">
        <v>1033.8580605443767</v>
      </c>
      <c r="Z43">
        <v>1294.7381318966959</v>
      </c>
    </row>
    <row r="44" spans="1:26" hidden="1">
      <c r="A44" t="s">
        <v>100</v>
      </c>
      <c r="B44" t="s">
        <v>158</v>
      </c>
      <c r="T44">
        <v>261.27439024390242</v>
      </c>
      <c r="U44">
        <v>329.77926085663296</v>
      </c>
      <c r="V44">
        <v>416.24577437392088</v>
      </c>
      <c r="W44">
        <v>525.3833859475709</v>
      </c>
      <c r="X44">
        <v>663.13634689723892</v>
      </c>
      <c r="Y44">
        <v>837.00746224224667</v>
      </c>
      <c r="Z44">
        <v>1056.4667358789334</v>
      </c>
    </row>
    <row r="45" spans="1:26" hidden="1">
      <c r="A45" t="s">
        <v>128</v>
      </c>
      <c r="B45" t="s">
        <v>158</v>
      </c>
      <c r="T45">
        <v>587.32258064516134</v>
      </c>
      <c r="U45">
        <v>966.24037460978161</v>
      </c>
      <c r="V45">
        <v>1589.6212614548022</v>
      </c>
      <c r="W45">
        <v>2615.1833656191907</v>
      </c>
      <c r="X45">
        <v>4302.3984402122169</v>
      </c>
      <c r="Y45">
        <v>7078.1393693813898</v>
      </c>
      <c r="Z45">
        <v>11644.680898014545</v>
      </c>
    </row>
    <row r="46" spans="1:26" hidden="1">
      <c r="A46" t="s">
        <v>7</v>
      </c>
      <c r="B46" t="s">
        <v>160</v>
      </c>
      <c r="T46">
        <v>67.161381055651191</v>
      </c>
      <c r="U46">
        <v>71.59763659210131</v>
      </c>
      <c r="V46">
        <v>76.326923076923038</v>
      </c>
      <c r="W46">
        <v>81.368596278961988</v>
      </c>
      <c r="X46">
        <v>86.743290486584257</v>
      </c>
      <c r="Y46">
        <v>92.473002958579812</v>
      </c>
      <c r="Z46">
        <v>98.581183953357765</v>
      </c>
    </row>
    <row r="47" spans="1:26" hidden="1">
      <c r="A47" t="s">
        <v>24</v>
      </c>
      <c r="B47" t="s">
        <v>160</v>
      </c>
      <c r="T47">
        <v>100.12844072839403</v>
      </c>
      <c r="U47">
        <v>117.94946638470019</v>
      </c>
      <c r="V47">
        <v>138.94230769230774</v>
      </c>
      <c r="W47">
        <v>163.6714896521826</v>
      </c>
      <c r="X47">
        <v>192.80201235960615</v>
      </c>
      <c r="Y47">
        <v>227.1172337278108</v>
      </c>
      <c r="Z47">
        <v>267.53993500837549</v>
      </c>
    </row>
    <row r="48" spans="1:26" hidden="1">
      <c r="A48" t="s">
        <v>18</v>
      </c>
      <c r="B48" t="s">
        <v>159</v>
      </c>
      <c r="T48">
        <v>310.70271965336894</v>
      </c>
      <c r="U48">
        <v>571.21999999999991</v>
      </c>
      <c r="V48">
        <v>1050.1751924283869</v>
      </c>
      <c r="W48">
        <v>1930.7235999999996</v>
      </c>
      <c r="X48">
        <v>3549.5921504079479</v>
      </c>
      <c r="Y48">
        <v>6525.8457679999983</v>
      </c>
      <c r="Z48">
        <v>11997.621468378862</v>
      </c>
    </row>
    <row r="49" spans="1:26" hidden="1">
      <c r="A49" t="s">
        <v>165</v>
      </c>
      <c r="B49" t="s">
        <v>163</v>
      </c>
      <c r="T49">
        <v>13116.188075595308</v>
      </c>
      <c r="U49">
        <v>13128.387487361762</v>
      </c>
      <c r="V49">
        <v>13140.598245843177</v>
      </c>
      <c r="W49">
        <v>13152.820361593171</v>
      </c>
      <c r="X49">
        <v>13165.053845175176</v>
      </c>
      <c r="Y49">
        <v>13177.298707162454</v>
      </c>
      <c r="Z49">
        <v>13189.554958138098</v>
      </c>
    </row>
    <row r="50" spans="1:26" hidden="1">
      <c r="A50" t="s">
        <v>147</v>
      </c>
      <c r="B50" t="s">
        <v>163</v>
      </c>
      <c r="T50">
        <v>67858.01830815943</v>
      </c>
      <c r="U50">
        <v>68050.581513766141</v>
      </c>
      <c r="V50">
        <v>68243.691163095762</v>
      </c>
      <c r="W50">
        <v>68437.348806811846</v>
      </c>
      <c r="X50">
        <v>68631.555999978285</v>
      </c>
      <c r="Y50">
        <v>68826.314302071871</v>
      </c>
      <c r="Z50">
        <v>69021.625276994775</v>
      </c>
    </row>
    <row r="51" spans="1:26" hidden="1">
      <c r="A51" t="s">
        <v>92</v>
      </c>
      <c r="B51" t="s">
        <v>163</v>
      </c>
      <c r="T51">
        <v>739.8641395365263</v>
      </c>
      <c r="U51">
        <v>738.73002020529611</v>
      </c>
      <c r="V51">
        <v>737.59763933737122</v>
      </c>
      <c r="W51">
        <v>736.46699426790451</v>
      </c>
      <c r="X51">
        <v>735.33808233613365</v>
      </c>
      <c r="Y51">
        <v>734.21090088537494</v>
      </c>
      <c r="Z51">
        <v>733.08544726301716</v>
      </c>
    </row>
    <row r="52" spans="1:26" hidden="1">
      <c r="A52" t="s">
        <v>99</v>
      </c>
      <c r="B52" t="s">
        <v>163</v>
      </c>
      <c r="T52">
        <v>1313.5367463264288</v>
      </c>
      <c r="U52">
        <v>1812.3726722161985</v>
      </c>
      <c r="V52">
        <v>2500.6492678506311</v>
      </c>
      <c r="W52">
        <v>3450.3095619706769</v>
      </c>
      <c r="X52">
        <v>4760.618062867572</v>
      </c>
      <c r="Y52">
        <v>6568.5365134473705</v>
      </c>
      <c r="Z52">
        <v>9063.0400000000045</v>
      </c>
    </row>
    <row r="53" spans="1:26" hidden="1">
      <c r="A53" t="s">
        <v>10</v>
      </c>
      <c r="B53" t="s">
        <v>163</v>
      </c>
      <c r="T53">
        <v>1112.0049865352239</v>
      </c>
      <c r="U53">
        <v>1547.628398096625</v>
      </c>
      <c r="V53">
        <v>2153.9055018610356</v>
      </c>
      <c r="W53">
        <v>2997.689184724813</v>
      </c>
      <c r="X53">
        <v>4172.0216789695896</v>
      </c>
      <c r="Y53">
        <v>5806.3941313482355</v>
      </c>
      <c r="Z53">
        <v>8081.0253164556916</v>
      </c>
    </row>
    <row r="54" spans="1:26" hidden="1">
      <c r="A54" t="s">
        <v>97</v>
      </c>
      <c r="B54" t="s">
        <v>163</v>
      </c>
      <c r="T54">
        <v>8070.0129660232406</v>
      </c>
      <c r="U54">
        <v>11184.116309768713</v>
      </c>
      <c r="V54">
        <v>15499.907888261294</v>
      </c>
      <c r="W54">
        <v>21481.102117539849</v>
      </c>
      <c r="X54">
        <v>29770.354218275093</v>
      </c>
      <c r="Y54">
        <v>41258.310929861698</v>
      </c>
      <c r="Z54">
        <v>57179.30691399661</v>
      </c>
    </row>
    <row r="55" spans="1:26">
      <c r="A55" t="s">
        <v>15</v>
      </c>
      <c r="B55" t="s">
        <v>163</v>
      </c>
      <c r="T55">
        <v>7448.499835196737</v>
      </c>
      <c r="U55">
        <v>9430.588100446339</v>
      </c>
      <c r="V55">
        <v>11940.1213516884</v>
      </c>
      <c r="W55">
        <v>15117.455706319919</v>
      </c>
      <c r="X55">
        <v>19140.296844657129</v>
      </c>
      <c r="Y55">
        <v>24233.638941534122</v>
      </c>
      <c r="Z55">
        <v>30682.348404255332</v>
      </c>
    </row>
    <row r="56" spans="1:26" hidden="1">
      <c r="A56" t="s">
        <v>2</v>
      </c>
      <c r="B56" t="s">
        <v>163</v>
      </c>
      <c r="T56">
        <v>505.75650818803501</v>
      </c>
      <c r="U56">
        <v>554.85823335044233</v>
      </c>
      <c r="V56">
        <v>608.72703392343089</v>
      </c>
      <c r="W56">
        <v>667.82572476523637</v>
      </c>
      <c r="X56">
        <v>732.66205343906665</v>
      </c>
      <c r="Y56">
        <v>803.79306253626442</v>
      </c>
      <c r="Z56">
        <v>881.82987551867234</v>
      </c>
    </row>
    <row r="57" spans="1:26" hidden="1">
      <c r="A57" t="s">
        <v>98</v>
      </c>
      <c r="B57" t="s">
        <v>163</v>
      </c>
      <c r="T57">
        <v>7898.3748834130756</v>
      </c>
      <c r="U57">
        <v>8860.1513703920627</v>
      </c>
      <c r="V57">
        <v>9939.042330229031</v>
      </c>
      <c r="W57">
        <v>11149.308664431237</v>
      </c>
      <c r="X57">
        <v>12506.947808913998</v>
      </c>
      <c r="Y57">
        <v>14029.905189899802</v>
      </c>
      <c r="Z57">
        <v>15738.311428571418</v>
      </c>
    </row>
    <row r="58" spans="1:26" hidden="1">
      <c r="A58" t="s">
        <v>25</v>
      </c>
      <c r="B58" t="s">
        <v>162</v>
      </c>
      <c r="T58">
        <v>62.052344740701145</v>
      </c>
      <c r="U58">
        <v>63.122844062603626</v>
      </c>
      <c r="V58">
        <v>64.211811160429519</v>
      </c>
      <c r="W58">
        <v>65.319564631996286</v>
      </c>
      <c r="X58">
        <v>66.446428571428584</v>
      </c>
      <c r="Y58">
        <v>67.59273266397804</v>
      </c>
      <c r="Z58">
        <v>68.758812282478956</v>
      </c>
    </row>
    <row r="59" spans="1:26" hidden="1">
      <c r="A59" t="s">
        <v>5</v>
      </c>
      <c r="B59" t="s">
        <v>160</v>
      </c>
      <c r="T59">
        <v>114.3722320211613</v>
      </c>
      <c r="U59">
        <v>140.65599416669198</v>
      </c>
      <c r="V59">
        <v>172.98000000000008</v>
      </c>
      <c r="W59">
        <v>212.7323515593601</v>
      </c>
      <c r="X59">
        <v>261.62014915004715</v>
      </c>
      <c r="Y59">
        <v>321.74280000000022</v>
      </c>
      <c r="Z59">
        <v>395.68217390040991</v>
      </c>
    </row>
    <row r="60" spans="1:26">
      <c r="A60" t="s">
        <v>39</v>
      </c>
      <c r="B60" t="s">
        <v>159</v>
      </c>
      <c r="T60">
        <v>284.66223031138787</v>
      </c>
      <c r="U60">
        <v>431.02439024390236</v>
      </c>
      <c r="V60">
        <v>652.64023534805995</v>
      </c>
      <c r="W60">
        <v>988.20226055919068</v>
      </c>
      <c r="X60">
        <v>1496.2971249443324</v>
      </c>
      <c r="Y60">
        <v>2265.6344510381441</v>
      </c>
      <c r="Z60">
        <v>3430.5348718235905</v>
      </c>
    </row>
    <row r="61" spans="1:26" hidden="1">
      <c r="A61" t="s">
        <v>36</v>
      </c>
      <c r="B61" t="s">
        <v>160</v>
      </c>
      <c r="T61">
        <v>202.78092696401237</v>
      </c>
      <c r="U61">
        <v>279.72860095499402</v>
      </c>
      <c r="V61">
        <v>385.87500000000006</v>
      </c>
      <c r="W61">
        <v>532.29993328053251</v>
      </c>
      <c r="X61">
        <v>734.28757750685929</v>
      </c>
      <c r="Y61">
        <v>1012.9218750000001</v>
      </c>
      <c r="Z61">
        <v>1397.287324861398</v>
      </c>
    </row>
    <row r="62" spans="1:26" hidden="1">
      <c r="A62" t="s">
        <v>3</v>
      </c>
      <c r="B62" t="s">
        <v>163</v>
      </c>
      <c r="T62">
        <v>144.08979287199796</v>
      </c>
      <c r="U62">
        <v>150.44832181083532</v>
      </c>
      <c r="V62">
        <v>157.08744585263011</v>
      </c>
      <c r="W62">
        <v>164.01954736012078</v>
      </c>
      <c r="X62">
        <v>171.25755511651207</v>
      </c>
      <c r="Y62">
        <v>178.81496843842751</v>
      </c>
      <c r="Z62">
        <v>186.7058823529411</v>
      </c>
    </row>
    <row r="63" spans="1:26" hidden="1">
      <c r="A63" t="s">
        <v>17</v>
      </c>
      <c r="B63" t="s">
        <v>164</v>
      </c>
      <c r="T63">
        <v>673.10857624745177</v>
      </c>
      <c r="U63">
        <v>906.1503108357432</v>
      </c>
      <c r="V63">
        <v>1219.875091185666</v>
      </c>
      <c r="W63">
        <v>1642.2167716554281</v>
      </c>
      <c r="X63">
        <v>2210.7803861173438</v>
      </c>
      <c r="Y63">
        <v>2976.1904761904739</v>
      </c>
      <c r="Z63">
        <v>4006.5986681395907</v>
      </c>
    </row>
    <row r="64" spans="1:26" hidden="1">
      <c r="A64" t="s">
        <v>16</v>
      </c>
      <c r="B64" t="s">
        <v>159</v>
      </c>
      <c r="T64">
        <v>210.70502220635063</v>
      </c>
      <c r="U64">
        <v>275.75531914893611</v>
      </c>
      <c r="V64">
        <v>360.88838909811113</v>
      </c>
      <c r="W64">
        <v>472.30432322317773</v>
      </c>
      <c r="X64">
        <v>618.11734728506258</v>
      </c>
      <c r="Y64">
        <v>808.94676637161285</v>
      </c>
      <c r="Z64">
        <v>1058.6903501371817</v>
      </c>
    </row>
    <row r="65" spans="1:26" hidden="1">
      <c r="A65" t="s">
        <v>28</v>
      </c>
      <c r="B65" t="s">
        <v>161</v>
      </c>
      <c r="T65">
        <v>396.38890115316582</v>
      </c>
      <c r="U65">
        <v>586.28418267691893</v>
      </c>
      <c r="V65">
        <v>867.15127960740983</v>
      </c>
      <c r="W65">
        <v>1282.5714285714284</v>
      </c>
      <c r="X65">
        <v>1897.0040269472934</v>
      </c>
      <c r="Y65">
        <v>2805.7885885252545</v>
      </c>
      <c r="Z65">
        <v>4149.9382666926031</v>
      </c>
    </row>
    <row r="66" spans="1:26" hidden="1">
      <c r="A66" t="s">
        <v>100</v>
      </c>
      <c r="B66" t="s">
        <v>161</v>
      </c>
      <c r="T66">
        <v>293.81258068570702</v>
      </c>
      <c r="U66">
        <v>417.03300758065262</v>
      </c>
      <c r="V66">
        <v>591.93016516132161</v>
      </c>
      <c r="W66">
        <v>840.17647058823525</v>
      </c>
      <c r="X66">
        <v>1192.5334157243401</v>
      </c>
      <c r="Y66">
        <v>1692.6633837097077</v>
      </c>
      <c r="Z66">
        <v>2402.5400821253638</v>
      </c>
    </row>
    <row r="67" spans="1:26" hidden="1">
      <c r="A67" t="s">
        <v>128</v>
      </c>
      <c r="B67" t="s">
        <v>162</v>
      </c>
      <c r="T67">
        <v>522.81337008828996</v>
      </c>
      <c r="U67">
        <v>765.64095222149922</v>
      </c>
      <c r="V67">
        <v>1121.2530154300543</v>
      </c>
      <c r="W67">
        <v>1642.0338031334568</v>
      </c>
      <c r="X67">
        <v>2404.6981132075466</v>
      </c>
      <c r="Y67">
        <v>3521.5919456890465</v>
      </c>
      <c r="Z67">
        <v>5157.2418857183993</v>
      </c>
    </row>
  </sheetData>
  <autoFilter ref="A1:Z67">
    <filterColumn colId="0">
      <filters>
        <filter val="Italy"/>
        <filter val="Netherlands"/>
      </filters>
    </filterColumn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4"/>
  <sheetViews>
    <sheetView showRuler="0" topLeftCell="A12" workbookViewId="0">
      <selection activeCell="A44" sqref="A44"/>
    </sheetView>
  </sheetViews>
  <sheetFormatPr baseColWidth="10" defaultRowHeight="15" x14ac:dyDescent="0"/>
  <sheetData>
    <row r="1" spans="1:35" s="11" customFormat="1">
      <c r="A1" s="11" t="s">
        <v>148</v>
      </c>
      <c r="B1" s="11" t="s">
        <v>0</v>
      </c>
      <c r="C1" s="11">
        <v>43881</v>
      </c>
      <c r="D1" s="11">
        <v>43882</v>
      </c>
      <c r="E1" s="11">
        <v>43883</v>
      </c>
      <c r="F1" s="11">
        <v>43884</v>
      </c>
      <c r="G1" s="11">
        <v>43885</v>
      </c>
      <c r="H1" s="11">
        <v>43886</v>
      </c>
      <c r="I1" s="11">
        <v>43887</v>
      </c>
      <c r="J1" s="11">
        <v>43888</v>
      </c>
      <c r="K1" s="11">
        <v>43889</v>
      </c>
      <c r="L1" s="11">
        <v>43890</v>
      </c>
      <c r="M1" s="11">
        <v>43891</v>
      </c>
      <c r="N1" s="11">
        <v>43892</v>
      </c>
      <c r="O1" s="11">
        <v>43893</v>
      </c>
      <c r="P1" s="11">
        <v>43894</v>
      </c>
      <c r="Q1" s="11">
        <v>43895</v>
      </c>
      <c r="R1" s="11">
        <v>43896</v>
      </c>
      <c r="S1" s="11">
        <v>43897</v>
      </c>
      <c r="T1" s="11">
        <v>43898</v>
      </c>
      <c r="U1" s="11">
        <v>43899</v>
      </c>
      <c r="V1" s="11">
        <v>43900</v>
      </c>
      <c r="W1" s="11">
        <v>43901</v>
      </c>
      <c r="X1" s="11">
        <v>43902</v>
      </c>
      <c r="Y1" s="11">
        <v>43903</v>
      </c>
      <c r="Z1" s="11">
        <v>43904</v>
      </c>
      <c r="AA1" s="11">
        <v>43905</v>
      </c>
      <c r="AB1" s="11">
        <v>43906</v>
      </c>
      <c r="AC1" s="11">
        <v>43907</v>
      </c>
      <c r="AD1" s="11">
        <v>43908</v>
      </c>
      <c r="AE1" s="11">
        <v>43909</v>
      </c>
      <c r="AF1" s="11">
        <v>43910</v>
      </c>
      <c r="AG1" s="11">
        <v>43911</v>
      </c>
      <c r="AH1" s="11">
        <v>43912</v>
      </c>
      <c r="AI1" s="11">
        <v>43913</v>
      </c>
    </row>
    <row r="2" spans="1:35" s="13" customFormat="1">
      <c r="F2" s="13">
        <v>26</v>
      </c>
      <c r="G2" s="13">
        <v>27</v>
      </c>
      <c r="H2" s="13">
        <v>35</v>
      </c>
      <c r="I2" s="13">
        <v>36</v>
      </c>
      <c r="J2" s="13">
        <v>56</v>
      </c>
      <c r="K2" s="13">
        <v>64</v>
      </c>
      <c r="L2" s="13">
        <v>105</v>
      </c>
      <c r="M2" s="13">
        <v>140</v>
      </c>
      <c r="N2" s="13">
        <v>166</v>
      </c>
      <c r="O2" s="13">
        <v>229</v>
      </c>
      <c r="P2" s="13">
        <v>295</v>
      </c>
      <c r="Q2" s="13">
        <v>351</v>
      </c>
      <c r="R2" s="13">
        <v>462</v>
      </c>
      <c r="S2" s="13">
        <v>567</v>
      </c>
      <c r="T2" s="13">
        <v>650</v>
      </c>
      <c r="U2" s="13">
        <v>733</v>
      </c>
      <c r="V2" s="13">
        <v>877</v>
      </c>
      <c r="W2" s="13">
        <v>1028</v>
      </c>
      <c r="X2" s="13">
        <v>1153</v>
      </c>
      <c r="Y2" s="13">
        <v>1328</v>
      </c>
      <c r="Z2" s="13">
        <v>1518</v>
      </c>
      <c r="AA2" s="13">
        <v>1672</v>
      </c>
    </row>
    <row r="3" spans="1:35" s="13" customFormat="1">
      <c r="B3" s="13" t="s">
        <v>172</v>
      </c>
      <c r="AA3" s="13">
        <v>1000</v>
      </c>
      <c r="AB3" s="13">
        <v>1000</v>
      </c>
      <c r="AC3" s="13">
        <v>1000</v>
      </c>
      <c r="AD3" s="13">
        <v>1000</v>
      </c>
      <c r="AE3" s="13">
        <v>1000</v>
      </c>
      <c r="AF3" s="13">
        <v>1000</v>
      </c>
      <c r="AG3" s="13">
        <v>1000</v>
      </c>
      <c r="AH3" s="13">
        <v>1000</v>
      </c>
      <c r="AI3" s="13">
        <v>1000</v>
      </c>
    </row>
    <row r="4" spans="1:35" s="14" customFormat="1">
      <c r="A4" s="14" t="s">
        <v>15</v>
      </c>
      <c r="B4" s="14" t="s">
        <v>171</v>
      </c>
      <c r="F4" s="14">
        <f t="shared" ref="F4:AA4" si="0">F2/F5</f>
        <v>0.16774193548387098</v>
      </c>
      <c r="G4" s="14">
        <f t="shared" si="0"/>
        <v>0.11790393013100436</v>
      </c>
      <c r="H4" s="14">
        <f t="shared" si="0"/>
        <v>0.10869565217391304</v>
      </c>
      <c r="I4" s="14">
        <f t="shared" si="0"/>
        <v>7.9470198675496692E-2</v>
      </c>
      <c r="J4" s="14">
        <f t="shared" si="0"/>
        <v>8.5496183206106871E-2</v>
      </c>
      <c r="K4" s="14">
        <f t="shared" si="0"/>
        <v>7.2072072072072071E-2</v>
      </c>
      <c r="L4" s="14">
        <f t="shared" si="0"/>
        <v>9.3085106382978719E-2</v>
      </c>
      <c r="M4" s="14">
        <f t="shared" si="0"/>
        <v>8.2644628099173556E-2</v>
      </c>
      <c r="N4" s="14">
        <f t="shared" si="0"/>
        <v>8.1532416502946958E-2</v>
      </c>
      <c r="O4" s="14">
        <f t="shared" si="0"/>
        <v>9.1526778577138285E-2</v>
      </c>
      <c r="P4" s="14">
        <f t="shared" si="0"/>
        <v>9.5500161864681132E-2</v>
      </c>
      <c r="Q4" s="14">
        <f t="shared" si="0"/>
        <v>9.0979782270606532E-2</v>
      </c>
      <c r="R4" s="14">
        <f t="shared" si="0"/>
        <v>9.9654874892148401E-2</v>
      </c>
      <c r="S4" s="14">
        <f t="shared" si="0"/>
        <v>9.6379398266190713E-2</v>
      </c>
      <c r="T4" s="14">
        <f t="shared" si="0"/>
        <v>8.8135593220338981E-2</v>
      </c>
      <c r="U4" s="14">
        <f t="shared" si="0"/>
        <v>7.9917139119057998E-2</v>
      </c>
      <c r="V4" s="14">
        <f t="shared" si="0"/>
        <v>8.6412454429007787E-2</v>
      </c>
      <c r="W4" s="14">
        <f t="shared" si="0"/>
        <v>8.2490771946718028E-2</v>
      </c>
      <c r="X4" s="14">
        <f t="shared" si="0"/>
        <v>9.2521264644519333E-2</v>
      </c>
      <c r="Y4" s="14">
        <f t="shared" si="0"/>
        <v>7.5198187995469984E-2</v>
      </c>
      <c r="Z4" s="14">
        <f t="shared" si="0"/>
        <v>7.1749302831214251E-2</v>
      </c>
      <c r="AA4" s="14">
        <f t="shared" si="0"/>
        <v>6.7563745100416212E-2</v>
      </c>
    </row>
    <row r="5" spans="1:35">
      <c r="A5" t="s">
        <v>15</v>
      </c>
      <c r="B5" t="s">
        <v>166</v>
      </c>
      <c r="C5">
        <v>3</v>
      </c>
      <c r="D5">
        <v>20</v>
      </c>
      <c r="E5">
        <v>62</v>
      </c>
      <c r="F5">
        <v>155</v>
      </c>
      <c r="G5">
        <v>229</v>
      </c>
      <c r="H5">
        <v>322</v>
      </c>
      <c r="I5">
        <v>453</v>
      </c>
      <c r="J5">
        <v>655</v>
      </c>
      <c r="K5">
        <v>888</v>
      </c>
      <c r="L5">
        <v>1128</v>
      </c>
      <c r="M5">
        <v>1694</v>
      </c>
      <c r="N5">
        <v>2036</v>
      </c>
      <c r="O5">
        <v>2502</v>
      </c>
      <c r="P5">
        <v>3089</v>
      </c>
      <c r="Q5">
        <v>3858</v>
      </c>
      <c r="R5">
        <v>4636</v>
      </c>
      <c r="S5">
        <v>5883</v>
      </c>
      <c r="T5">
        <v>7375</v>
      </c>
      <c r="U5">
        <v>9172</v>
      </c>
      <c r="V5">
        <v>10149</v>
      </c>
      <c r="W5">
        <v>12462</v>
      </c>
      <c r="X5">
        <v>12462</v>
      </c>
      <c r="Y5">
        <v>17660</v>
      </c>
      <c r="Z5">
        <v>21157</v>
      </c>
      <c r="AA5">
        <v>24747</v>
      </c>
      <c r="AB5">
        <f>AA5*($AA5/$W5)^(1/5)</f>
        <v>28386.347865594813</v>
      </c>
      <c r="AC5">
        <f t="shared" ref="AC5:AH5" si="1">AB5*($AA5/$W5)^(1/5)</f>
        <v>32560.906176367203</v>
      </c>
      <c r="AD5">
        <f t="shared" si="1"/>
        <v>37349.384149244521</v>
      </c>
      <c r="AE5">
        <f t="shared" si="1"/>
        <v>42842.066150490486</v>
      </c>
      <c r="AF5">
        <f t="shared" si="1"/>
        <v>49142.513962445846</v>
      </c>
      <c r="AG5">
        <f t="shared" si="1"/>
        <v>56369.519389333575</v>
      </c>
      <c r="AH5">
        <f t="shared" si="1"/>
        <v>64659.344017538067</v>
      </c>
    </row>
    <row r="6" spans="1:35" ht="17">
      <c r="A6" t="s">
        <v>39</v>
      </c>
      <c r="B6" t="s">
        <v>166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6</v>
      </c>
      <c r="M6">
        <v>10</v>
      </c>
      <c r="N6">
        <v>18</v>
      </c>
      <c r="O6">
        <v>24</v>
      </c>
      <c r="P6">
        <v>38</v>
      </c>
      <c r="Q6">
        <v>82</v>
      </c>
      <c r="R6">
        <v>128</v>
      </c>
      <c r="S6">
        <v>188</v>
      </c>
      <c r="T6">
        <v>265</v>
      </c>
      <c r="U6">
        <v>321</v>
      </c>
      <c r="V6">
        <v>382</v>
      </c>
      <c r="W6">
        <v>503</v>
      </c>
      <c r="X6">
        <v>503</v>
      </c>
      <c r="Y6">
        <v>804</v>
      </c>
      <c r="Z6" s="12">
        <v>959</v>
      </c>
      <c r="AA6">
        <v>1135</v>
      </c>
    </row>
    <row r="7" spans="1:35">
      <c r="A7" t="s">
        <v>15</v>
      </c>
      <c r="B7" t="s">
        <v>168</v>
      </c>
      <c r="C7">
        <f>C5/60.487482</f>
        <v>4.9597038937742526E-2</v>
      </c>
      <c r="D7">
        <f t="shared" ref="D7:AH7" si="2">D5/60.487482</f>
        <v>0.33064692625161685</v>
      </c>
      <c r="E7">
        <f t="shared" si="2"/>
        <v>1.0250054713800121</v>
      </c>
      <c r="F7">
        <f t="shared" si="2"/>
        <v>2.5625136784500304</v>
      </c>
      <c r="G7">
        <f t="shared" si="2"/>
        <v>3.7859073055810124</v>
      </c>
      <c r="H7">
        <f t="shared" si="2"/>
        <v>5.3234155126510307</v>
      </c>
      <c r="I7">
        <f t="shared" si="2"/>
        <v>7.4891528795991213</v>
      </c>
      <c r="J7">
        <f t="shared" si="2"/>
        <v>10.82868683474045</v>
      </c>
      <c r="K7">
        <f t="shared" si="2"/>
        <v>14.680723525571787</v>
      </c>
      <c r="L7">
        <f t="shared" si="2"/>
        <v>18.648486640591187</v>
      </c>
      <c r="M7">
        <f t="shared" si="2"/>
        <v>28.005794653511945</v>
      </c>
      <c r="N7">
        <f t="shared" si="2"/>
        <v>33.65985709241459</v>
      </c>
      <c r="O7">
        <f t="shared" si="2"/>
        <v>41.363930474077264</v>
      </c>
      <c r="P7">
        <f t="shared" si="2"/>
        <v>51.068417759562216</v>
      </c>
      <c r="Q7">
        <f t="shared" si="2"/>
        <v>63.781792073936884</v>
      </c>
      <c r="R7">
        <f t="shared" si="2"/>
        <v>76.643957505124774</v>
      </c>
      <c r="S7">
        <f t="shared" si="2"/>
        <v>97.259793356913093</v>
      </c>
      <c r="T7">
        <f t="shared" si="2"/>
        <v>121.9260540552837</v>
      </c>
      <c r="U7">
        <f t="shared" si="2"/>
        <v>151.63468037899148</v>
      </c>
      <c r="V7">
        <f t="shared" si="2"/>
        <v>167.78678272638297</v>
      </c>
      <c r="W7">
        <f t="shared" si="2"/>
        <v>206.02609974738243</v>
      </c>
      <c r="X7">
        <f t="shared" si="2"/>
        <v>206.02609974738243</v>
      </c>
      <c r="Y7">
        <f t="shared" si="2"/>
        <v>291.96123588017764</v>
      </c>
      <c r="Z7">
        <f t="shared" si="2"/>
        <v>349.77485093527287</v>
      </c>
      <c r="AA7">
        <f t="shared" si="2"/>
        <v>409.1259741974381</v>
      </c>
      <c r="AB7">
        <f t="shared" si="2"/>
        <v>469.29293346340341</v>
      </c>
      <c r="AC7">
        <f t="shared" si="2"/>
        <v>538.30817715915509</v>
      </c>
      <c r="AD7">
        <f t="shared" si="2"/>
        <v>617.47295331692794</v>
      </c>
      <c r="AE7">
        <f t="shared" si="2"/>
        <v>708.2798743464059</v>
      </c>
      <c r="AF7">
        <f t="shared" si="2"/>
        <v>812.44105949799405</v>
      </c>
      <c r="AG7">
        <f t="shared" si="2"/>
        <v>931.92041601820313</v>
      </c>
      <c r="AH7">
        <f t="shared" si="2"/>
        <v>1068.9706676422416</v>
      </c>
    </row>
    <row r="8" spans="1:35">
      <c r="A8" t="s">
        <v>15</v>
      </c>
      <c r="B8" t="s">
        <v>169</v>
      </c>
      <c r="J8">
        <f>J2/60.487482</f>
        <v>0.92581139350452712</v>
      </c>
      <c r="K8">
        <f t="shared" ref="K8:AA8" si="3">K2/60.487482</f>
        <v>1.0580701640051737</v>
      </c>
      <c r="L8">
        <f t="shared" si="3"/>
        <v>1.7358963628209882</v>
      </c>
      <c r="M8">
        <f t="shared" si="3"/>
        <v>2.3145284837613178</v>
      </c>
      <c r="N8">
        <f t="shared" si="3"/>
        <v>2.7443694878884197</v>
      </c>
      <c r="O8">
        <f t="shared" si="3"/>
        <v>3.7859073055810124</v>
      </c>
      <c r="P8">
        <f t="shared" si="3"/>
        <v>4.8770421622113478</v>
      </c>
      <c r="Q8">
        <f t="shared" si="3"/>
        <v>5.8028535557158749</v>
      </c>
      <c r="R8">
        <f t="shared" si="3"/>
        <v>7.637943996412349</v>
      </c>
      <c r="S8">
        <f t="shared" si="3"/>
        <v>9.3738403592333377</v>
      </c>
      <c r="T8">
        <f t="shared" si="3"/>
        <v>10.746025103177546</v>
      </c>
      <c r="U8">
        <f t="shared" si="3"/>
        <v>12.118209847121756</v>
      </c>
      <c r="V8">
        <f t="shared" si="3"/>
        <v>14.498867716133399</v>
      </c>
      <c r="W8">
        <f t="shared" si="3"/>
        <v>16.995252009333104</v>
      </c>
      <c r="X8">
        <f t="shared" si="3"/>
        <v>19.061795298405709</v>
      </c>
      <c r="Y8">
        <f t="shared" si="3"/>
        <v>21.954955903107358</v>
      </c>
      <c r="Z8">
        <f t="shared" si="3"/>
        <v>25.096101702497716</v>
      </c>
      <c r="AA8">
        <f t="shared" si="3"/>
        <v>27.642083034635167</v>
      </c>
    </row>
    <row r="9" spans="1:35">
      <c r="A9" t="s">
        <v>15</v>
      </c>
      <c r="B9" t="s">
        <v>170</v>
      </c>
      <c r="C9">
        <f>C7*0.1</f>
        <v>4.9597038937742527E-3</v>
      </c>
      <c r="D9">
        <f t="shared" ref="D9:AH9" si="4">D7*0.1</f>
        <v>3.3064692625161686E-2</v>
      </c>
      <c r="E9">
        <f t="shared" si="4"/>
        <v>0.10250054713800122</v>
      </c>
      <c r="F9">
        <f t="shared" si="4"/>
        <v>0.25625136784500308</v>
      </c>
      <c r="G9">
        <f t="shared" si="4"/>
        <v>0.37859073055810127</v>
      </c>
      <c r="H9">
        <f t="shared" si="4"/>
        <v>0.53234155126510307</v>
      </c>
      <c r="I9">
        <f t="shared" si="4"/>
        <v>0.74891528795991213</v>
      </c>
      <c r="J9">
        <f t="shared" si="4"/>
        <v>1.0828686834740451</v>
      </c>
      <c r="K9">
        <f t="shared" si="4"/>
        <v>1.4680723525571788</v>
      </c>
      <c r="L9">
        <f t="shared" si="4"/>
        <v>1.8648486640591189</v>
      </c>
      <c r="M9">
        <f t="shared" si="4"/>
        <v>2.8005794653511948</v>
      </c>
      <c r="N9">
        <f t="shared" si="4"/>
        <v>3.3659857092414591</v>
      </c>
      <c r="O9">
        <f t="shared" si="4"/>
        <v>4.1363930474077266</v>
      </c>
      <c r="P9">
        <f t="shared" si="4"/>
        <v>5.1068417759562221</v>
      </c>
      <c r="Q9">
        <f t="shared" si="4"/>
        <v>6.3781792073936892</v>
      </c>
      <c r="R9">
        <f t="shared" si="4"/>
        <v>7.6643957505124778</v>
      </c>
      <c r="S9">
        <f t="shared" si="4"/>
        <v>9.72597933569131</v>
      </c>
      <c r="T9">
        <f t="shared" si="4"/>
        <v>12.19260540552837</v>
      </c>
      <c r="U9">
        <f t="shared" si="4"/>
        <v>15.163468037899149</v>
      </c>
      <c r="V9">
        <f t="shared" si="4"/>
        <v>16.778678272638299</v>
      </c>
      <c r="W9">
        <f t="shared" si="4"/>
        <v>20.602609974738243</v>
      </c>
      <c r="X9">
        <f t="shared" si="4"/>
        <v>20.602609974738243</v>
      </c>
      <c r="Y9">
        <f t="shared" si="4"/>
        <v>29.196123588017766</v>
      </c>
      <c r="Z9">
        <f t="shared" si="4"/>
        <v>34.977485093527285</v>
      </c>
      <c r="AA9">
        <f t="shared" si="4"/>
        <v>40.912597419743811</v>
      </c>
      <c r="AB9">
        <f t="shared" si="4"/>
        <v>46.929293346340344</v>
      </c>
      <c r="AC9">
        <f t="shared" si="4"/>
        <v>53.830817715915515</v>
      </c>
      <c r="AD9">
        <f t="shared" si="4"/>
        <v>61.747295331692797</v>
      </c>
      <c r="AE9">
        <f t="shared" si="4"/>
        <v>70.82798743464059</v>
      </c>
      <c r="AF9">
        <f t="shared" si="4"/>
        <v>81.244105949799405</v>
      </c>
      <c r="AG9">
        <f t="shared" si="4"/>
        <v>93.192041601820321</v>
      </c>
      <c r="AH9">
        <f t="shared" si="4"/>
        <v>106.89706676422416</v>
      </c>
    </row>
    <row r="10" spans="1:35">
      <c r="A10" t="s">
        <v>39</v>
      </c>
      <c r="B10" t="s">
        <v>167</v>
      </c>
      <c r="C10">
        <f>L6/17.42765</f>
        <v>0.34428049679675687</v>
      </c>
      <c r="D10">
        <f t="shared" ref="D10:R10" si="5">M6/17.42765</f>
        <v>0.57380082799459475</v>
      </c>
      <c r="E10">
        <f t="shared" si="5"/>
        <v>1.0328414903902707</v>
      </c>
      <c r="F10">
        <f t="shared" si="5"/>
        <v>1.3771219871870275</v>
      </c>
      <c r="G10">
        <f t="shared" si="5"/>
        <v>2.1804431463794605</v>
      </c>
      <c r="H10">
        <f t="shared" si="5"/>
        <v>4.705166789555677</v>
      </c>
      <c r="I10">
        <f t="shared" si="5"/>
        <v>7.344650598330813</v>
      </c>
      <c r="J10">
        <f t="shared" si="5"/>
        <v>10.787455566298382</v>
      </c>
      <c r="K10">
        <f t="shared" si="5"/>
        <v>15.205721941856762</v>
      </c>
      <c r="L10">
        <f t="shared" si="5"/>
        <v>18.419006578626494</v>
      </c>
      <c r="M10">
        <f t="shared" si="5"/>
        <v>21.91919162939352</v>
      </c>
      <c r="N10">
        <f t="shared" si="5"/>
        <v>28.862181648128118</v>
      </c>
      <c r="O10">
        <f t="shared" si="5"/>
        <v>28.862181648128118</v>
      </c>
      <c r="P10">
        <f t="shared" si="5"/>
        <v>46.133586570765424</v>
      </c>
      <c r="Q10">
        <f t="shared" si="5"/>
        <v>55.027499404681642</v>
      </c>
      <c r="R10">
        <f t="shared" si="5"/>
        <v>65.126393977386513</v>
      </c>
    </row>
    <row r="11" spans="1:35">
      <c r="C11" s="11">
        <v>43890</v>
      </c>
      <c r="D11" s="11">
        <v>43891</v>
      </c>
      <c r="E11" s="11">
        <v>43892</v>
      </c>
      <c r="F11" s="11">
        <v>43893</v>
      </c>
      <c r="G11" s="11">
        <v>43894</v>
      </c>
      <c r="H11" s="11">
        <v>43895</v>
      </c>
      <c r="I11" s="11">
        <v>43896</v>
      </c>
      <c r="J11" s="11">
        <v>43897</v>
      </c>
      <c r="K11" s="11">
        <v>43898</v>
      </c>
      <c r="L11" s="11">
        <v>43899</v>
      </c>
      <c r="M11" s="11">
        <v>43900</v>
      </c>
      <c r="N11" s="11">
        <v>43901</v>
      </c>
      <c r="O11" s="11">
        <v>43902</v>
      </c>
      <c r="P11" s="11">
        <v>43903</v>
      </c>
      <c r="Q11" s="11">
        <v>43904</v>
      </c>
      <c r="R11" s="11">
        <v>43905</v>
      </c>
    </row>
    <row r="16" spans="1:35">
      <c r="C16">
        <f>850/17.42765</f>
        <v>48.773070379540556</v>
      </c>
    </row>
    <row r="17" spans="3:3">
      <c r="C17">
        <f>1650/17.42765</f>
        <v>94.67713661910814</v>
      </c>
    </row>
    <row r="43" spans="3:3">
      <c r="C43" t="s">
        <v>15</v>
      </c>
    </row>
    <row r="44" spans="3:3">
      <c r="C44" t="s">
        <v>181</v>
      </c>
    </row>
    <row r="46" spans="3:3">
      <c r="C46" t="s">
        <v>39</v>
      </c>
    </row>
    <row r="47" spans="3:3">
      <c r="C47" t="s">
        <v>182</v>
      </c>
    </row>
    <row r="51" spans="3:4">
      <c r="C51" t="s">
        <v>175</v>
      </c>
    </row>
    <row r="52" spans="3:4">
      <c r="C52">
        <v>850</v>
      </c>
      <c r="D52" t="s">
        <v>176</v>
      </c>
    </row>
    <row r="53" spans="3:4">
      <c r="C53" s="15">
        <f>C52/17.18</f>
        <v>49.476135040745056</v>
      </c>
      <c r="D53" t="s">
        <v>177</v>
      </c>
    </row>
    <row r="54" spans="3:4">
      <c r="C54" s="13">
        <f>C53*10</f>
        <v>494.76135040745055</v>
      </c>
      <c r="D54" t="s">
        <v>178</v>
      </c>
    </row>
    <row r="55" spans="3:4">
      <c r="C55" s="13"/>
    </row>
    <row r="56" spans="3:4">
      <c r="C56" t="s">
        <v>179</v>
      </c>
    </row>
    <row r="59" spans="3:4">
      <c r="C59" t="s">
        <v>174</v>
      </c>
    </row>
    <row r="60" spans="3:4">
      <c r="C60">
        <v>1650</v>
      </c>
      <c r="D60" t="s">
        <v>176</v>
      </c>
    </row>
    <row r="61" spans="3:4">
      <c r="C61" s="15">
        <f>C60/17.18</f>
        <v>96.041909196740392</v>
      </c>
      <c r="D61" t="s">
        <v>173</v>
      </c>
    </row>
    <row r="62" spans="3:4">
      <c r="C62" s="13">
        <f>C61*10</f>
        <v>960.41909196740392</v>
      </c>
      <c r="D62" t="s">
        <v>178</v>
      </c>
    </row>
    <row r="64" spans="3:4">
      <c r="C64" t="s">
        <v>180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54"/>
  <sheetViews>
    <sheetView showRuler="0" topLeftCell="A5" workbookViewId="0">
      <selection activeCell="M10" sqref="M10"/>
    </sheetView>
  </sheetViews>
  <sheetFormatPr baseColWidth="10" defaultRowHeight="15" x14ac:dyDescent="0"/>
  <cols>
    <col min="7" max="7" width="10.83203125" style="21"/>
    <col min="8" max="8" width="10.83203125" style="17"/>
    <col min="9" max="12" width="10.83203125" style="21"/>
    <col min="13" max="14" width="10.83203125" style="22"/>
    <col min="15" max="16" width="10.83203125" style="19"/>
    <col min="18" max="21" width="10.83203125" style="21"/>
    <col min="22" max="22" width="6.1640625" style="21" bestFit="1" customWidth="1"/>
    <col min="23" max="23" width="6.83203125" style="21" bestFit="1" customWidth="1"/>
    <col min="24" max="24" width="10.83203125" style="21"/>
    <col min="25" max="25" width="6.1640625" style="21" bestFit="1" customWidth="1"/>
    <col min="26" max="26" width="6.83203125" style="21" bestFit="1" customWidth="1"/>
    <col min="27" max="27" width="10.83203125" style="21"/>
    <col min="29" max="29" width="10.83203125" style="17"/>
    <col min="34" max="34" width="11.6640625" customWidth="1"/>
    <col min="35" max="35" width="10.5" style="24" customWidth="1"/>
    <col min="36" max="36" width="12.1640625" bestFit="1" customWidth="1"/>
    <col min="37" max="37" width="9" bestFit="1" customWidth="1"/>
    <col min="38" max="38" width="10.83203125" customWidth="1"/>
    <col min="40" max="40" width="7.1640625" bestFit="1" customWidth="1"/>
  </cols>
  <sheetData>
    <row r="1" spans="1:39">
      <c r="A1" s="11" t="s">
        <v>185</v>
      </c>
      <c r="B1" s="13" t="s">
        <v>15</v>
      </c>
      <c r="C1" s="13" t="s">
        <v>15</v>
      </c>
      <c r="D1" s="13" t="s">
        <v>15</v>
      </c>
      <c r="E1" s="13" t="s">
        <v>15</v>
      </c>
      <c r="F1" t="s">
        <v>15</v>
      </c>
      <c r="G1" s="21" t="s">
        <v>195</v>
      </c>
      <c r="H1" s="18" t="s">
        <v>15</v>
      </c>
      <c r="I1" s="21" t="s">
        <v>195</v>
      </c>
      <c r="J1" s="21" t="s">
        <v>195</v>
      </c>
      <c r="K1" s="21" t="s">
        <v>15</v>
      </c>
      <c r="L1" s="21" t="s">
        <v>195</v>
      </c>
      <c r="M1" s="22" t="s">
        <v>39</v>
      </c>
      <c r="N1" s="22" t="s">
        <v>39</v>
      </c>
      <c r="O1" t="s">
        <v>39</v>
      </c>
      <c r="P1" t="s">
        <v>39</v>
      </c>
      <c r="Q1" t="s">
        <v>39</v>
      </c>
      <c r="R1" s="21" t="s">
        <v>197</v>
      </c>
      <c r="U1" s="21" t="s">
        <v>197</v>
      </c>
      <c r="X1" s="21" t="s">
        <v>197</v>
      </c>
      <c r="AA1" s="21" t="s">
        <v>253</v>
      </c>
      <c r="AC1" s="20" t="s">
        <v>172</v>
      </c>
      <c r="AF1" t="s">
        <v>183</v>
      </c>
      <c r="AG1">
        <v>60.487482</v>
      </c>
    </row>
    <row r="2" spans="1:39">
      <c r="A2" s="11" t="s">
        <v>185</v>
      </c>
      <c r="B2" s="13" t="s">
        <v>186</v>
      </c>
      <c r="C2" s="13" t="s">
        <v>254</v>
      </c>
      <c r="D2" s="13" t="s">
        <v>188</v>
      </c>
      <c r="E2" s="13" t="s">
        <v>190</v>
      </c>
      <c r="F2" t="s">
        <v>187</v>
      </c>
      <c r="G2" s="21" t="s">
        <v>186</v>
      </c>
      <c r="H2" s="18" t="s">
        <v>171</v>
      </c>
      <c r="I2" s="21" t="s">
        <v>198</v>
      </c>
      <c r="J2" s="21" t="s">
        <v>190</v>
      </c>
      <c r="K2" s="21" t="s">
        <v>189</v>
      </c>
      <c r="L2" s="21" t="s">
        <v>187</v>
      </c>
      <c r="M2" s="22" t="s">
        <v>186</v>
      </c>
      <c r="N2" s="22" t="s">
        <v>255</v>
      </c>
      <c r="O2" s="13" t="s">
        <v>198</v>
      </c>
      <c r="P2" s="13" t="s">
        <v>190</v>
      </c>
      <c r="Q2" t="s">
        <v>187</v>
      </c>
      <c r="R2" s="21" t="s">
        <v>196</v>
      </c>
      <c r="S2" s="21" t="s">
        <v>191</v>
      </c>
      <c r="T2" s="21" t="s">
        <v>192</v>
      </c>
      <c r="U2" s="21" t="s">
        <v>199</v>
      </c>
      <c r="V2" s="21" t="s">
        <v>191</v>
      </c>
      <c r="W2" s="21" t="s">
        <v>192</v>
      </c>
      <c r="X2" s="21" t="s">
        <v>194</v>
      </c>
      <c r="Y2" s="21" t="s">
        <v>191</v>
      </c>
      <c r="Z2" s="21" t="s">
        <v>192</v>
      </c>
      <c r="AA2" s="21" t="s">
        <v>187</v>
      </c>
      <c r="AC2" s="20" t="s">
        <v>172</v>
      </c>
      <c r="AF2" t="s">
        <v>184</v>
      </c>
      <c r="AG2">
        <v>17.42765</v>
      </c>
    </row>
    <row r="3" spans="1:39">
      <c r="A3" s="11">
        <v>43881</v>
      </c>
      <c r="B3" s="13"/>
      <c r="C3" s="13"/>
      <c r="D3" s="13"/>
      <c r="E3" s="13"/>
      <c r="F3">
        <v>3</v>
      </c>
      <c r="H3" s="18"/>
      <c r="K3" s="21">
        <f t="shared" ref="K3:K30" si="0">L3*0.1</f>
        <v>4.9597038937742527E-3</v>
      </c>
      <c r="L3" s="21">
        <f t="shared" ref="L3:L30" si="1">F3/$AG$1</f>
        <v>4.9597038937742526E-2</v>
      </c>
      <c r="AC3" s="20"/>
    </row>
    <row r="4" spans="1:39">
      <c r="A4" s="11">
        <v>43882</v>
      </c>
      <c r="B4" s="13"/>
      <c r="C4" s="13"/>
      <c r="D4" s="13"/>
      <c r="E4" s="13">
        <v>1</v>
      </c>
      <c r="F4">
        <v>20</v>
      </c>
      <c r="H4" s="18"/>
      <c r="J4" s="21">
        <f t="shared" ref="J4:J27" si="2">E4/$AG$1</f>
        <v>1.653234631258084E-2</v>
      </c>
      <c r="K4" s="21">
        <f t="shared" si="0"/>
        <v>3.3064692625161686E-2</v>
      </c>
      <c r="L4" s="21">
        <f t="shared" si="1"/>
        <v>0.33064692625161685</v>
      </c>
      <c r="M4" s="22">
        <v>1</v>
      </c>
      <c r="R4" s="21">
        <f t="shared" ref="R4:R10" si="3">M4/$AG$2</f>
        <v>5.7380082799459477E-2</v>
      </c>
      <c r="S4" s="21">
        <v>5.1334490000000003E-2</v>
      </c>
      <c r="T4" s="21">
        <v>0.1658124</v>
      </c>
      <c r="AC4" s="20"/>
      <c r="AH4" s="53" t="s">
        <v>247</v>
      </c>
    </row>
    <row r="5" spans="1:39">
      <c r="A5" s="11">
        <v>43883</v>
      </c>
      <c r="B5" s="13"/>
      <c r="C5" s="13"/>
      <c r="D5" s="13">
        <v>1</v>
      </c>
      <c r="E5" s="13">
        <v>2</v>
      </c>
      <c r="F5">
        <v>62</v>
      </c>
      <c r="H5" s="18"/>
      <c r="J5" s="21">
        <f t="shared" si="2"/>
        <v>3.3064692625161679E-2</v>
      </c>
      <c r="K5" s="21">
        <f t="shared" si="0"/>
        <v>0.10250054713800122</v>
      </c>
      <c r="L5" s="21">
        <f t="shared" si="1"/>
        <v>1.0250054713800121</v>
      </c>
      <c r="M5" s="22">
        <v>1</v>
      </c>
      <c r="R5" s="21">
        <f t="shared" si="3"/>
        <v>5.7380082799459477E-2</v>
      </c>
      <c r="S5" s="21">
        <v>5.1334490000000003E-2</v>
      </c>
      <c r="T5" s="21">
        <v>0.1658124</v>
      </c>
      <c r="AC5" s="20"/>
      <c r="AH5" s="53" t="s">
        <v>248</v>
      </c>
    </row>
    <row r="6" spans="1:39">
      <c r="A6" s="11">
        <v>43884</v>
      </c>
      <c r="B6" s="13">
        <v>26</v>
      </c>
      <c r="C6" s="13"/>
      <c r="D6" s="13">
        <v>2</v>
      </c>
      <c r="E6" s="13">
        <v>3</v>
      </c>
      <c r="F6">
        <v>155</v>
      </c>
      <c r="G6" s="21">
        <f t="shared" ref="G6:G27" si="4">B6/$AG$1</f>
        <v>0.42984100412710186</v>
      </c>
      <c r="H6" s="18">
        <f t="shared" ref="H6:H27" si="5">B6/F6</f>
        <v>0.16774193548387098</v>
      </c>
      <c r="J6" s="21">
        <f t="shared" si="2"/>
        <v>4.9597038937742526E-2</v>
      </c>
      <c r="K6" s="21">
        <f t="shared" si="0"/>
        <v>0.25625136784500308</v>
      </c>
      <c r="L6" s="21">
        <f t="shared" si="1"/>
        <v>2.5625136784500304</v>
      </c>
      <c r="M6" s="22">
        <v>1</v>
      </c>
      <c r="R6" s="21">
        <f t="shared" si="3"/>
        <v>5.7380082799459477E-2</v>
      </c>
      <c r="S6" s="21">
        <v>5.1334490000000003E-2</v>
      </c>
      <c r="T6" s="21">
        <v>0.1658124</v>
      </c>
      <c r="AC6" s="20"/>
    </row>
    <row r="7" spans="1:39">
      <c r="A7" s="11">
        <v>43885</v>
      </c>
      <c r="B7" s="13">
        <v>27</v>
      </c>
      <c r="C7" s="13">
        <v>127</v>
      </c>
      <c r="D7" s="13">
        <v>1</v>
      </c>
      <c r="E7" s="13">
        <v>7</v>
      </c>
      <c r="F7">
        <v>229</v>
      </c>
      <c r="G7" s="21">
        <f t="shared" si="4"/>
        <v>0.44637335043968274</v>
      </c>
      <c r="H7" s="18">
        <f t="shared" si="5"/>
        <v>0.11790393013100436</v>
      </c>
      <c r="I7" s="21">
        <f t="shared" ref="I7:I27" si="6">C7/$AG$1</f>
        <v>2.0996079816977669</v>
      </c>
      <c r="J7" s="21">
        <f t="shared" si="2"/>
        <v>0.11572642418806589</v>
      </c>
      <c r="K7" s="21">
        <f t="shared" si="0"/>
        <v>0.37859073055810127</v>
      </c>
      <c r="L7" s="21">
        <f t="shared" si="1"/>
        <v>3.7859073055810124</v>
      </c>
      <c r="M7" s="22">
        <v>1</v>
      </c>
      <c r="R7" s="21">
        <f t="shared" si="3"/>
        <v>5.7380082799459477E-2</v>
      </c>
      <c r="S7" s="21">
        <v>5.1334490000000003E-2</v>
      </c>
      <c r="T7" s="21">
        <v>0.1658124</v>
      </c>
      <c r="AC7" s="20"/>
      <c r="AI7" s="27" t="s">
        <v>208</v>
      </c>
      <c r="AJ7">
        <v>17428496</v>
      </c>
      <c r="AK7" t="s">
        <v>207</v>
      </c>
      <c r="AL7" t="s">
        <v>193</v>
      </c>
      <c r="AM7" s="37" t="s">
        <v>229</v>
      </c>
    </row>
    <row r="8" spans="1:39">
      <c r="A8" s="11">
        <v>43886</v>
      </c>
      <c r="B8" s="13">
        <v>35</v>
      </c>
      <c r="C8" s="13">
        <v>150</v>
      </c>
      <c r="D8" s="13">
        <v>1</v>
      </c>
      <c r="E8" s="13">
        <v>10</v>
      </c>
      <c r="F8">
        <v>322</v>
      </c>
      <c r="G8" s="21">
        <f t="shared" si="4"/>
        <v>0.57863212094032945</v>
      </c>
      <c r="H8" s="18">
        <f t="shared" si="5"/>
        <v>0.10869565217391304</v>
      </c>
      <c r="I8" s="21">
        <f t="shared" si="6"/>
        <v>2.4798519468871261</v>
      </c>
      <c r="J8" s="21">
        <f t="shared" si="2"/>
        <v>0.16532346312580842</v>
      </c>
      <c r="K8" s="21">
        <f t="shared" si="0"/>
        <v>0.53234155126510307</v>
      </c>
      <c r="L8" s="21">
        <f t="shared" si="1"/>
        <v>5.3234155126510307</v>
      </c>
      <c r="M8" s="22">
        <v>1</v>
      </c>
      <c r="R8" s="21">
        <f t="shared" si="3"/>
        <v>5.7380082799459477E-2</v>
      </c>
      <c r="S8" s="21">
        <v>5.1334490000000003E-2</v>
      </c>
      <c r="T8" s="21">
        <v>0.1658124</v>
      </c>
      <c r="AC8" s="20"/>
      <c r="AI8" s="27" t="s">
        <v>204</v>
      </c>
      <c r="AJ8" s="23">
        <v>0.6</v>
      </c>
      <c r="AL8" t="s">
        <v>205</v>
      </c>
      <c r="AM8" s="37" t="s">
        <v>230</v>
      </c>
    </row>
    <row r="9" spans="1:39">
      <c r="A9" s="11">
        <v>43887</v>
      </c>
      <c r="B9" s="13">
        <v>36</v>
      </c>
      <c r="C9" s="13">
        <v>164</v>
      </c>
      <c r="D9" s="13">
        <v>3</v>
      </c>
      <c r="E9" s="13">
        <v>12</v>
      </c>
      <c r="F9">
        <v>453</v>
      </c>
      <c r="G9" s="21">
        <f t="shared" si="4"/>
        <v>0.59516446725291028</v>
      </c>
      <c r="H9" s="18">
        <f t="shared" si="5"/>
        <v>7.9470198675496692E-2</v>
      </c>
      <c r="I9" s="21">
        <f t="shared" si="6"/>
        <v>2.7113047952632581</v>
      </c>
      <c r="J9" s="21">
        <f t="shared" si="2"/>
        <v>0.1983881557509701</v>
      </c>
      <c r="K9" s="21">
        <f t="shared" si="0"/>
        <v>0.74891528795991213</v>
      </c>
      <c r="L9" s="21">
        <f t="shared" si="1"/>
        <v>7.4891528795991213</v>
      </c>
      <c r="M9" s="22">
        <v>1</v>
      </c>
      <c r="R9" s="21">
        <f t="shared" si="3"/>
        <v>5.7380082799459477E-2</v>
      </c>
      <c r="S9" s="21">
        <v>5.1334490000000003E-2</v>
      </c>
      <c r="T9" s="21">
        <v>0.1658124</v>
      </c>
      <c r="AC9" s="20"/>
      <c r="AI9" s="28" t="s">
        <v>201</v>
      </c>
      <c r="AJ9" s="55">
        <f>AJ7*AJ8</f>
        <v>10457097.6</v>
      </c>
      <c r="AK9" s="29" t="s">
        <v>207</v>
      </c>
      <c r="AL9" s="9"/>
    </row>
    <row r="10" spans="1:39">
      <c r="A10" s="11">
        <v>43888</v>
      </c>
      <c r="B10" s="13">
        <v>56</v>
      </c>
      <c r="C10" s="13">
        <v>304</v>
      </c>
      <c r="D10" s="13">
        <v>45</v>
      </c>
      <c r="E10" s="13">
        <v>17</v>
      </c>
      <c r="F10">
        <v>655</v>
      </c>
      <c r="G10" s="21">
        <f t="shared" si="4"/>
        <v>0.92581139350452712</v>
      </c>
      <c r="H10" s="18">
        <f t="shared" si="5"/>
        <v>8.5496183206106871E-2</v>
      </c>
      <c r="I10" s="21">
        <f t="shared" si="6"/>
        <v>5.0258332790245754</v>
      </c>
      <c r="J10" s="21">
        <f t="shared" si="2"/>
        <v>0.28104988731387431</v>
      </c>
      <c r="K10" s="21">
        <f t="shared" si="0"/>
        <v>1.0828686834740451</v>
      </c>
      <c r="L10" s="21">
        <f t="shared" si="1"/>
        <v>10.82868683474045</v>
      </c>
      <c r="M10" s="22">
        <v>1</v>
      </c>
      <c r="Q10">
        <v>1</v>
      </c>
      <c r="R10" s="21">
        <f t="shared" si="3"/>
        <v>5.7380082799459477E-2</v>
      </c>
      <c r="S10" s="21">
        <v>5.1334490000000003E-2</v>
      </c>
      <c r="T10" s="21">
        <v>0.1658124</v>
      </c>
      <c r="AA10" s="21">
        <f t="shared" ref="AA10:AA30" si="7">Q10/$AG$2</f>
        <v>5.7380082799459477E-2</v>
      </c>
      <c r="AC10" s="20"/>
      <c r="AI10" s="27"/>
      <c r="AJ10" s="13"/>
    </row>
    <row r="11" spans="1:39">
      <c r="A11" s="11">
        <v>43889</v>
      </c>
      <c r="B11" s="13">
        <v>64</v>
      </c>
      <c r="C11" s="13">
        <v>409</v>
      </c>
      <c r="D11" s="13">
        <v>46</v>
      </c>
      <c r="E11" s="13">
        <v>21</v>
      </c>
      <c r="F11">
        <v>888</v>
      </c>
      <c r="G11" s="21">
        <f t="shared" si="4"/>
        <v>1.0580701640051737</v>
      </c>
      <c r="H11" s="18">
        <f t="shared" si="5"/>
        <v>7.2072072072072071E-2</v>
      </c>
      <c r="I11" s="21">
        <f t="shared" si="6"/>
        <v>6.7617296418455641</v>
      </c>
      <c r="J11" s="21">
        <f t="shared" si="2"/>
        <v>0.34717927256419767</v>
      </c>
      <c r="K11" s="21">
        <f t="shared" si="0"/>
        <v>1.4680723525571788</v>
      </c>
      <c r="L11" s="21">
        <f t="shared" si="1"/>
        <v>14.680723525571787</v>
      </c>
      <c r="M11" s="22">
        <v>2</v>
      </c>
      <c r="Q11">
        <v>1</v>
      </c>
      <c r="R11" s="21">
        <f t="shared" ref="R11:R25" si="8">M11/$AG$2</f>
        <v>0.11476016559891895</v>
      </c>
      <c r="S11" s="21">
        <v>8.4244769999999997E-2</v>
      </c>
      <c r="T11" s="21">
        <v>0.190635</v>
      </c>
      <c r="AA11" s="21">
        <f t="shared" si="7"/>
        <v>5.7380082799459477E-2</v>
      </c>
      <c r="AC11" s="20"/>
      <c r="AI11" s="27" t="s">
        <v>201</v>
      </c>
      <c r="AJ11" s="39">
        <f>AJ9</f>
        <v>10457097.6</v>
      </c>
      <c r="AK11" s="8" t="s">
        <v>207</v>
      </c>
      <c r="AL11" s="9" t="s">
        <v>193</v>
      </c>
    </row>
    <row r="12" spans="1:39">
      <c r="A12" s="11">
        <v>43890</v>
      </c>
      <c r="B12" s="13">
        <v>105</v>
      </c>
      <c r="C12" s="13">
        <v>506</v>
      </c>
      <c r="D12" s="13">
        <v>46</v>
      </c>
      <c r="E12" s="13">
        <v>29</v>
      </c>
      <c r="F12">
        <v>1128</v>
      </c>
      <c r="G12" s="21">
        <f t="shared" si="4"/>
        <v>1.7358963628209882</v>
      </c>
      <c r="H12" s="18">
        <f t="shared" si="5"/>
        <v>9.3085106382978719E-2</v>
      </c>
      <c r="I12" s="21">
        <f t="shared" si="6"/>
        <v>8.3653672341659053</v>
      </c>
      <c r="J12" s="21">
        <f t="shared" si="2"/>
        <v>0.47943804306484439</v>
      </c>
      <c r="K12" s="21">
        <f t="shared" si="0"/>
        <v>1.8648486640591189</v>
      </c>
      <c r="L12" s="21">
        <f t="shared" si="1"/>
        <v>18.648486640591187</v>
      </c>
      <c r="M12" s="22">
        <v>2</v>
      </c>
      <c r="N12" s="22">
        <v>2</v>
      </c>
      <c r="Q12">
        <v>6</v>
      </c>
      <c r="R12" s="21">
        <f t="shared" si="8"/>
        <v>0.11476016559891895</v>
      </c>
      <c r="S12" s="21">
        <v>8.4244769999999997E-2</v>
      </c>
      <c r="T12" s="21">
        <v>0.190635</v>
      </c>
      <c r="AA12" s="21">
        <f t="shared" si="7"/>
        <v>0.34428049679675687</v>
      </c>
      <c r="AC12" s="20"/>
      <c r="AI12" s="27" t="s">
        <v>220</v>
      </c>
      <c r="AJ12" s="2">
        <v>7.3999999999999996E-2</v>
      </c>
      <c r="AL12" t="s">
        <v>193</v>
      </c>
      <c r="AM12" t="s">
        <v>231</v>
      </c>
    </row>
    <row r="13" spans="1:39">
      <c r="A13" s="11">
        <v>43891</v>
      </c>
      <c r="B13" s="13">
        <v>140</v>
      </c>
      <c r="C13" s="13">
        <v>779</v>
      </c>
      <c r="D13" s="13">
        <v>83</v>
      </c>
      <c r="E13" s="13">
        <v>34</v>
      </c>
      <c r="F13">
        <v>1694</v>
      </c>
      <c r="G13" s="21">
        <f t="shared" si="4"/>
        <v>2.3145284837613178</v>
      </c>
      <c r="H13" s="18">
        <f t="shared" si="5"/>
        <v>8.2644628099173556E-2</v>
      </c>
      <c r="I13" s="21">
        <f t="shared" si="6"/>
        <v>12.878697777500475</v>
      </c>
      <c r="J13" s="21">
        <f t="shared" si="2"/>
        <v>0.56209977462774863</v>
      </c>
      <c r="K13" s="21">
        <f t="shared" si="0"/>
        <v>2.8005794653511948</v>
      </c>
      <c r="L13" s="21">
        <f t="shared" si="1"/>
        <v>28.005794653511945</v>
      </c>
      <c r="M13" s="22">
        <v>3</v>
      </c>
      <c r="N13" s="22">
        <v>3</v>
      </c>
      <c r="Q13">
        <v>10</v>
      </c>
      <c r="R13" s="21">
        <f t="shared" si="8"/>
        <v>0.17214024839837844</v>
      </c>
      <c r="S13" s="21">
        <v>0.1089036</v>
      </c>
      <c r="T13" s="21">
        <v>0.21120359999999999</v>
      </c>
      <c r="AA13" s="21">
        <f t="shared" si="7"/>
        <v>0.57380082799459475</v>
      </c>
      <c r="AC13" s="20"/>
      <c r="AI13" s="27" t="s">
        <v>221</v>
      </c>
      <c r="AJ13" s="2">
        <v>0.05</v>
      </c>
      <c r="AL13" t="s">
        <v>193</v>
      </c>
      <c r="AM13" s="37" t="s">
        <v>233</v>
      </c>
    </row>
    <row r="14" spans="1:39">
      <c r="A14" s="11">
        <v>43892</v>
      </c>
      <c r="B14" s="13">
        <v>166</v>
      </c>
      <c r="C14" s="13">
        <v>908</v>
      </c>
      <c r="D14" s="13">
        <v>149</v>
      </c>
      <c r="E14" s="13">
        <v>52</v>
      </c>
      <c r="F14">
        <v>2036</v>
      </c>
      <c r="G14" s="21">
        <f t="shared" si="4"/>
        <v>2.7443694878884197</v>
      </c>
      <c r="H14" s="18">
        <f t="shared" si="5"/>
        <v>8.1532416502946958E-2</v>
      </c>
      <c r="I14" s="21">
        <f t="shared" si="6"/>
        <v>15.011370451823403</v>
      </c>
      <c r="J14" s="21">
        <f t="shared" si="2"/>
        <v>0.85968200825420371</v>
      </c>
      <c r="K14" s="21">
        <f t="shared" si="0"/>
        <v>3.3659857092414591</v>
      </c>
      <c r="L14" s="21">
        <f t="shared" si="1"/>
        <v>33.65985709241459</v>
      </c>
      <c r="M14" s="22">
        <v>3</v>
      </c>
      <c r="N14" s="22">
        <v>4</v>
      </c>
      <c r="Q14">
        <v>18</v>
      </c>
      <c r="R14" s="21">
        <f t="shared" si="8"/>
        <v>0.17214024839837844</v>
      </c>
      <c r="S14" s="21">
        <v>0.1089036</v>
      </c>
      <c r="T14" s="21">
        <v>0.21120359999999999</v>
      </c>
      <c r="AA14" s="21">
        <f t="shared" si="7"/>
        <v>1.0328414903902707</v>
      </c>
      <c r="AC14" s="20"/>
      <c r="AG14">
        <v>1</v>
      </c>
      <c r="AI14" s="27" t="s">
        <v>222</v>
      </c>
      <c r="AJ14" s="54">
        <f>AL49</f>
        <v>6.0945309285705851E-2</v>
      </c>
      <c r="AL14" t="s">
        <v>205</v>
      </c>
      <c r="AM14" t="s">
        <v>249</v>
      </c>
    </row>
    <row r="15" spans="1:39">
      <c r="A15" s="11">
        <v>43893</v>
      </c>
      <c r="B15" s="13">
        <v>229</v>
      </c>
      <c r="C15" s="13">
        <v>1263</v>
      </c>
      <c r="D15" s="13">
        <v>160</v>
      </c>
      <c r="E15" s="13">
        <v>79</v>
      </c>
      <c r="F15">
        <v>2502</v>
      </c>
      <c r="G15" s="21">
        <f t="shared" si="4"/>
        <v>3.7859073055810124</v>
      </c>
      <c r="H15" s="18">
        <f t="shared" si="5"/>
        <v>9.1526778577138285E-2</v>
      </c>
      <c r="I15" s="21">
        <f t="shared" si="6"/>
        <v>20.880353392789601</v>
      </c>
      <c r="J15" s="21">
        <f t="shared" si="2"/>
        <v>1.3060553586938866</v>
      </c>
      <c r="K15" s="21">
        <f t="shared" si="0"/>
        <v>4.1363930474077266</v>
      </c>
      <c r="L15" s="21">
        <f t="shared" si="1"/>
        <v>41.363930474077264</v>
      </c>
      <c r="M15" s="22">
        <v>4</v>
      </c>
      <c r="N15" s="22">
        <v>5</v>
      </c>
      <c r="Q15">
        <v>24</v>
      </c>
      <c r="R15" s="21">
        <f t="shared" si="8"/>
        <v>0.22952033119783791</v>
      </c>
      <c r="S15" s="21">
        <v>0.1294053</v>
      </c>
      <c r="T15" s="21">
        <v>0.22915240000000001</v>
      </c>
      <c r="AA15" s="21">
        <f t="shared" si="7"/>
        <v>1.3771219871870275</v>
      </c>
      <c r="AC15" s="20"/>
      <c r="AG15">
        <f>AG14/2</f>
        <v>0.5</v>
      </c>
      <c r="AI15" s="28" t="s">
        <v>223</v>
      </c>
      <c r="AJ15" s="30">
        <f>AJ11*AJ12*AJ13*AJ14</f>
        <v>2358.0508756124059</v>
      </c>
      <c r="AK15" s="29" t="s">
        <v>207</v>
      </c>
      <c r="AL15" s="9"/>
    </row>
    <row r="16" spans="1:39">
      <c r="A16" s="11">
        <v>43894</v>
      </c>
      <c r="B16" s="13">
        <v>295</v>
      </c>
      <c r="C16" s="13">
        <v>1641</v>
      </c>
      <c r="D16" s="13">
        <v>276</v>
      </c>
      <c r="E16" s="13">
        <v>107</v>
      </c>
      <c r="F16">
        <v>3089</v>
      </c>
      <c r="G16" s="21">
        <f t="shared" si="4"/>
        <v>4.8770421622113478</v>
      </c>
      <c r="H16" s="18">
        <f t="shared" si="5"/>
        <v>9.5500161864681132E-2</v>
      </c>
      <c r="I16" s="21">
        <f t="shared" si="6"/>
        <v>27.129580298945161</v>
      </c>
      <c r="J16" s="21">
        <f t="shared" si="2"/>
        <v>1.7689610554461499</v>
      </c>
      <c r="K16" s="21">
        <f t="shared" si="0"/>
        <v>5.1068417759562221</v>
      </c>
      <c r="L16" s="21">
        <f t="shared" si="1"/>
        <v>51.068417759562216</v>
      </c>
      <c r="M16" s="22">
        <v>7</v>
      </c>
      <c r="N16" s="22">
        <v>8</v>
      </c>
      <c r="Q16">
        <v>38</v>
      </c>
      <c r="R16" s="21">
        <f t="shared" si="8"/>
        <v>0.40166057959621637</v>
      </c>
      <c r="S16" s="21">
        <v>0.17817849999999999</v>
      </c>
      <c r="T16" s="21">
        <v>0.27375539999999998</v>
      </c>
      <c r="AA16" s="21">
        <f t="shared" si="7"/>
        <v>2.1804431463794605</v>
      </c>
      <c r="AC16" s="20"/>
      <c r="AG16">
        <f t="shared" ref="AG16:AG22" si="9">AG15/2</f>
        <v>0.25</v>
      </c>
    </row>
    <row r="17" spans="1:40">
      <c r="A17" s="11">
        <v>43895</v>
      </c>
      <c r="B17" s="13">
        <v>351</v>
      </c>
      <c r="C17" s="13">
        <v>2141</v>
      </c>
      <c r="D17" s="13">
        <v>414</v>
      </c>
      <c r="E17" s="13">
        <v>148</v>
      </c>
      <c r="F17">
        <v>3858</v>
      </c>
      <c r="G17" s="21">
        <f t="shared" si="4"/>
        <v>5.8028535557158749</v>
      </c>
      <c r="H17" s="18">
        <f t="shared" si="5"/>
        <v>9.0979782270606532E-2</v>
      </c>
      <c r="I17" s="21">
        <f t="shared" si="6"/>
        <v>35.395753455235578</v>
      </c>
      <c r="J17" s="21">
        <f t="shared" si="2"/>
        <v>2.4467872542619644</v>
      </c>
      <c r="K17" s="21">
        <f t="shared" si="0"/>
        <v>6.3781792073936892</v>
      </c>
      <c r="L17" s="21">
        <f t="shared" si="1"/>
        <v>63.781792073936884</v>
      </c>
      <c r="M17" s="22">
        <v>8</v>
      </c>
      <c r="N17" s="22">
        <v>9</v>
      </c>
      <c r="Q17">
        <v>82</v>
      </c>
      <c r="R17" s="21">
        <f t="shared" si="8"/>
        <v>0.45904066239567581</v>
      </c>
      <c r="S17" s="21">
        <v>0.19187219999999999</v>
      </c>
      <c r="T17" s="21">
        <v>0.28659689999999999</v>
      </c>
      <c r="AA17" s="21">
        <f t="shared" si="7"/>
        <v>4.705166789555677</v>
      </c>
      <c r="AC17" s="20"/>
      <c r="AG17">
        <f t="shared" si="9"/>
        <v>0.125</v>
      </c>
      <c r="AI17" s="24" t="s">
        <v>223</v>
      </c>
      <c r="AJ17" s="13">
        <f>AJ15</f>
        <v>2358.0508756124059</v>
      </c>
      <c r="AK17" t="s">
        <v>207</v>
      </c>
      <c r="AL17" t="s">
        <v>193</v>
      </c>
    </row>
    <row r="18" spans="1:40">
      <c r="A18" s="11">
        <v>43896</v>
      </c>
      <c r="B18" s="13">
        <v>462</v>
      </c>
      <c r="C18" s="13">
        <v>2856</v>
      </c>
      <c r="D18" s="13">
        <v>523</v>
      </c>
      <c r="E18" s="13">
        <v>197</v>
      </c>
      <c r="F18">
        <v>4636</v>
      </c>
      <c r="G18" s="21">
        <f t="shared" si="4"/>
        <v>7.637943996412349</v>
      </c>
      <c r="H18" s="18">
        <f t="shared" si="5"/>
        <v>9.9654874892148401E-2</v>
      </c>
      <c r="I18" s="21">
        <f t="shared" si="6"/>
        <v>47.216381068730882</v>
      </c>
      <c r="J18" s="21">
        <f t="shared" si="2"/>
        <v>3.2568722235784255</v>
      </c>
      <c r="K18" s="21">
        <f t="shared" si="0"/>
        <v>7.6643957505124778</v>
      </c>
      <c r="L18" s="21">
        <f t="shared" si="1"/>
        <v>76.643957505124774</v>
      </c>
      <c r="M18" s="22">
        <v>11</v>
      </c>
      <c r="N18" s="22">
        <v>12</v>
      </c>
      <c r="P18" s="19">
        <v>1</v>
      </c>
      <c r="Q18">
        <v>128</v>
      </c>
      <c r="R18" s="21">
        <f t="shared" si="8"/>
        <v>0.63118091079405425</v>
      </c>
      <c r="S18" s="21">
        <v>0.2283299</v>
      </c>
      <c r="T18" s="21">
        <v>0.32122060000000002</v>
      </c>
      <c r="X18" s="21">
        <f>P18/$AG$2</f>
        <v>5.7380082799459477E-2</v>
      </c>
      <c r="Y18" s="21">
        <v>5.1334490000000003E-2</v>
      </c>
      <c r="Z18" s="21">
        <v>0.1658124</v>
      </c>
      <c r="AA18" s="21">
        <f t="shared" si="7"/>
        <v>7.344650598330813</v>
      </c>
      <c r="AC18" s="20"/>
      <c r="AG18">
        <f t="shared" si="9"/>
        <v>6.25E-2</v>
      </c>
      <c r="AI18" s="24" t="s">
        <v>202</v>
      </c>
      <c r="AJ18">
        <v>15</v>
      </c>
      <c r="AK18" t="s">
        <v>203</v>
      </c>
      <c r="AL18" t="s">
        <v>205</v>
      </c>
      <c r="AM18" s="37" t="s">
        <v>232</v>
      </c>
    </row>
    <row r="19" spans="1:40">
      <c r="A19" s="11">
        <v>43897</v>
      </c>
      <c r="B19" s="13">
        <v>567</v>
      </c>
      <c r="C19" s="13">
        <v>3218</v>
      </c>
      <c r="D19" s="13">
        <v>589</v>
      </c>
      <c r="E19" s="13">
        <v>233</v>
      </c>
      <c r="F19">
        <v>5883</v>
      </c>
      <c r="G19" s="21">
        <f t="shared" si="4"/>
        <v>9.3738403592333377</v>
      </c>
      <c r="H19" s="18">
        <f t="shared" si="5"/>
        <v>9.6379398266190713E-2</v>
      </c>
      <c r="I19" s="21">
        <f t="shared" si="6"/>
        <v>53.201090433885149</v>
      </c>
      <c r="J19" s="21">
        <f t="shared" si="2"/>
        <v>3.8520366908313362</v>
      </c>
      <c r="K19" s="21">
        <f t="shared" si="0"/>
        <v>9.72597933569131</v>
      </c>
      <c r="L19" s="21">
        <f t="shared" si="1"/>
        <v>97.259793356913093</v>
      </c>
      <c r="M19" s="22">
        <v>13</v>
      </c>
      <c r="N19" s="22">
        <v>15</v>
      </c>
      <c r="P19" s="19">
        <v>1</v>
      </c>
      <c r="Q19">
        <v>188</v>
      </c>
      <c r="R19" s="21">
        <f t="shared" si="8"/>
        <v>0.74594107639297325</v>
      </c>
      <c r="S19" s="21">
        <v>0.24983610000000001</v>
      </c>
      <c r="T19" s="21">
        <v>0.34186810000000001</v>
      </c>
      <c r="X19" s="21">
        <f t="shared" ref="X19:X30" si="10">P19/$AG$2</f>
        <v>5.7380082799459477E-2</v>
      </c>
      <c r="Y19" s="21">
        <v>5.1334490000000003E-2</v>
      </c>
      <c r="Z19" s="21">
        <v>0.1658124</v>
      </c>
      <c r="AA19" s="21">
        <f t="shared" si="7"/>
        <v>10.787455566298382</v>
      </c>
      <c r="AC19" s="20"/>
      <c r="AG19">
        <f t="shared" si="9"/>
        <v>3.125E-2</v>
      </c>
      <c r="AI19" s="34" t="s">
        <v>227</v>
      </c>
      <c r="AJ19" s="30">
        <f>AJ17*AJ18</f>
        <v>35370.763134186091</v>
      </c>
      <c r="AK19" s="29" t="s">
        <v>226</v>
      </c>
    </row>
    <row r="20" spans="1:40">
      <c r="A20" s="11">
        <v>43898</v>
      </c>
      <c r="B20" s="13">
        <v>650</v>
      </c>
      <c r="C20" s="13">
        <v>4207</v>
      </c>
      <c r="D20" s="13">
        <v>622</v>
      </c>
      <c r="E20" s="13">
        <v>366</v>
      </c>
      <c r="F20">
        <v>7375</v>
      </c>
      <c r="G20" s="21">
        <f t="shared" si="4"/>
        <v>10.746025103177546</v>
      </c>
      <c r="H20" s="18">
        <f t="shared" si="5"/>
        <v>8.8135593220338981E-2</v>
      </c>
      <c r="I20" s="21">
        <f t="shared" si="6"/>
        <v>69.551580937027595</v>
      </c>
      <c r="J20" s="21">
        <f t="shared" si="2"/>
        <v>6.050838750404588</v>
      </c>
      <c r="K20" s="21">
        <f t="shared" si="0"/>
        <v>12.19260540552837</v>
      </c>
      <c r="L20" s="21">
        <f t="shared" si="1"/>
        <v>121.9260540552837</v>
      </c>
      <c r="M20" s="22">
        <v>18</v>
      </c>
      <c r="N20" s="22">
        <v>20</v>
      </c>
      <c r="P20" s="19">
        <v>3</v>
      </c>
      <c r="Q20">
        <v>265</v>
      </c>
      <c r="R20" s="21">
        <f t="shared" si="8"/>
        <v>1.0328414903902707</v>
      </c>
      <c r="S20" s="21">
        <v>0.29713410000000001</v>
      </c>
      <c r="T20" s="21">
        <v>0.38767620000000003</v>
      </c>
      <c r="X20" s="21">
        <f t="shared" si="10"/>
        <v>0.17214024839837844</v>
      </c>
      <c r="Y20" s="21">
        <v>0.1089036</v>
      </c>
      <c r="Z20" s="21">
        <v>0.21120359999999999</v>
      </c>
      <c r="AA20" s="21">
        <f t="shared" si="7"/>
        <v>15.205721941856762</v>
      </c>
      <c r="AC20" s="20"/>
      <c r="AG20">
        <f t="shared" si="9"/>
        <v>1.5625E-2</v>
      </c>
    </row>
    <row r="21" spans="1:40">
      <c r="A21" s="11">
        <v>43899</v>
      </c>
      <c r="B21" s="13">
        <v>733</v>
      </c>
      <c r="C21" s="13">
        <v>5049</v>
      </c>
      <c r="D21" s="13">
        <v>724</v>
      </c>
      <c r="E21" s="13">
        <v>463</v>
      </c>
      <c r="F21">
        <v>9172</v>
      </c>
      <c r="G21" s="21">
        <f t="shared" si="4"/>
        <v>12.118209847121756</v>
      </c>
      <c r="H21" s="18">
        <f t="shared" si="5"/>
        <v>7.9917139119057998E-2</v>
      </c>
      <c r="I21" s="21">
        <f t="shared" si="6"/>
        <v>83.471816532220672</v>
      </c>
      <c r="J21" s="21">
        <f t="shared" si="2"/>
        <v>7.6544763427249292</v>
      </c>
      <c r="K21" s="21">
        <f t="shared" si="0"/>
        <v>15.163468037899149</v>
      </c>
      <c r="L21" s="21">
        <f t="shared" si="1"/>
        <v>151.63468037899148</v>
      </c>
      <c r="M21" s="22">
        <v>19</v>
      </c>
      <c r="N21" s="22">
        <v>25</v>
      </c>
      <c r="P21" s="19">
        <v>3</v>
      </c>
      <c r="Q21">
        <v>321</v>
      </c>
      <c r="R21" s="21">
        <f t="shared" si="8"/>
        <v>1.0902215731897302</v>
      </c>
      <c r="S21" s="21">
        <v>0.3057511</v>
      </c>
      <c r="T21" s="21">
        <v>0.39606740000000001</v>
      </c>
      <c r="X21" s="21">
        <f t="shared" si="10"/>
        <v>0.17214024839837844</v>
      </c>
      <c r="Y21" s="21">
        <v>0.1089036</v>
      </c>
      <c r="Z21" s="21">
        <v>0.21120359999999999</v>
      </c>
      <c r="AA21" s="21">
        <f t="shared" si="7"/>
        <v>18.419006578626494</v>
      </c>
      <c r="AC21" s="20"/>
      <c r="AG21">
        <f t="shared" si="9"/>
        <v>7.8125E-3</v>
      </c>
      <c r="AI21" s="24" t="s">
        <v>227</v>
      </c>
      <c r="AJ21" s="36">
        <f>AJ19</f>
        <v>35370.763134186091</v>
      </c>
      <c r="AK21" s="32" t="s">
        <v>226</v>
      </c>
      <c r="AL21" t="s">
        <v>224</v>
      </c>
    </row>
    <row r="22" spans="1:40">
      <c r="A22" s="11">
        <v>43900</v>
      </c>
      <c r="B22" s="13">
        <v>877</v>
      </c>
      <c r="C22" s="13">
        <v>5915</v>
      </c>
      <c r="D22" s="13">
        <v>1004</v>
      </c>
      <c r="E22" s="13">
        <v>631</v>
      </c>
      <c r="F22">
        <v>10149</v>
      </c>
      <c r="G22" s="21">
        <f t="shared" si="4"/>
        <v>14.498867716133399</v>
      </c>
      <c r="H22" s="18">
        <f t="shared" si="5"/>
        <v>8.6412454429007787E-2</v>
      </c>
      <c r="I22" s="21">
        <f t="shared" si="6"/>
        <v>97.788828438915672</v>
      </c>
      <c r="J22" s="21">
        <f t="shared" si="2"/>
        <v>10.431910523238511</v>
      </c>
      <c r="K22" s="21">
        <f t="shared" si="0"/>
        <v>16.778678272638299</v>
      </c>
      <c r="L22" s="21">
        <f t="shared" si="1"/>
        <v>167.78678272638297</v>
      </c>
      <c r="M22" s="22">
        <v>27</v>
      </c>
      <c r="N22" s="22">
        <v>35</v>
      </c>
      <c r="P22" s="19">
        <v>4</v>
      </c>
      <c r="Q22">
        <v>382</v>
      </c>
      <c r="R22" s="21">
        <f t="shared" si="8"/>
        <v>1.549262235585406</v>
      </c>
      <c r="S22" s="21">
        <v>0.36771900000000002</v>
      </c>
      <c r="T22" s="21">
        <v>0.45670230000000001</v>
      </c>
      <c r="X22" s="21">
        <f t="shared" si="10"/>
        <v>0.22952033119783791</v>
      </c>
      <c r="Y22" s="21">
        <v>0.1294053</v>
      </c>
      <c r="Z22" s="21">
        <v>0.22915240000000001</v>
      </c>
      <c r="AA22" s="21">
        <f t="shared" si="7"/>
        <v>21.91919162939352</v>
      </c>
      <c r="AC22" s="20"/>
      <c r="AG22">
        <f t="shared" si="9"/>
        <v>3.90625E-3</v>
      </c>
      <c r="AI22" s="24" t="s">
        <v>225</v>
      </c>
      <c r="AJ22">
        <v>850</v>
      </c>
      <c r="AK22" s="33" t="s">
        <v>228</v>
      </c>
      <c r="AL22" t="s">
        <v>205</v>
      </c>
      <c r="AM22" s="37" t="s">
        <v>234</v>
      </c>
    </row>
    <row r="23" spans="1:40">
      <c r="A23" s="11">
        <v>43901</v>
      </c>
      <c r="B23" s="13">
        <v>1028</v>
      </c>
      <c r="C23" s="13">
        <v>6866</v>
      </c>
      <c r="D23" s="13">
        <v>1045</v>
      </c>
      <c r="E23" s="13">
        <v>827</v>
      </c>
      <c r="F23">
        <v>12462</v>
      </c>
      <c r="G23" s="21">
        <f t="shared" si="4"/>
        <v>16.995252009333104</v>
      </c>
      <c r="H23" s="18">
        <f t="shared" si="5"/>
        <v>8.2490771946718028E-2</v>
      </c>
      <c r="I23" s="21">
        <f t="shared" si="6"/>
        <v>113.51108978218005</v>
      </c>
      <c r="J23" s="21">
        <f t="shared" si="2"/>
        <v>13.672250400504355</v>
      </c>
      <c r="K23" s="21">
        <f t="shared" si="0"/>
        <v>20.602609974738243</v>
      </c>
      <c r="L23" s="21">
        <f t="shared" si="1"/>
        <v>206.02609974738243</v>
      </c>
      <c r="M23" s="22">
        <v>35</v>
      </c>
      <c r="N23" s="22">
        <v>44</v>
      </c>
      <c r="P23" s="19">
        <v>5</v>
      </c>
      <c r="Q23">
        <v>503</v>
      </c>
      <c r="R23" s="21">
        <f t="shared" si="8"/>
        <v>2.008302897981082</v>
      </c>
      <c r="S23" s="21">
        <v>0.42091299999999998</v>
      </c>
      <c r="T23" s="21">
        <v>0.5090481</v>
      </c>
      <c r="X23" s="21">
        <f t="shared" si="10"/>
        <v>0.28690041399729738</v>
      </c>
      <c r="Y23" s="21">
        <v>0.14731810000000001</v>
      </c>
      <c r="Z23" s="21">
        <v>0.2452811</v>
      </c>
      <c r="AA23" s="21">
        <f t="shared" si="7"/>
        <v>28.862181648128118</v>
      </c>
      <c r="AC23" s="20"/>
      <c r="AI23" s="34" t="s">
        <v>209</v>
      </c>
      <c r="AJ23" s="30">
        <f>AJ21/AJ22</f>
        <v>41.612662510807162</v>
      </c>
      <c r="AK23" s="35" t="s">
        <v>203</v>
      </c>
    </row>
    <row r="24" spans="1:40">
      <c r="A24" s="11">
        <v>43902</v>
      </c>
      <c r="B24" s="13">
        <v>1153</v>
      </c>
      <c r="C24" s="13">
        <v>7803</v>
      </c>
      <c r="D24" s="13">
        <v>1258</v>
      </c>
      <c r="E24" s="13">
        <v>827</v>
      </c>
      <c r="F24">
        <v>12462</v>
      </c>
      <c r="G24" s="21">
        <f t="shared" si="4"/>
        <v>19.061795298405709</v>
      </c>
      <c r="H24" s="18">
        <f t="shared" si="5"/>
        <v>9.2521264644519333E-2</v>
      </c>
      <c r="I24" s="21">
        <f t="shared" si="6"/>
        <v>129.00189827706831</v>
      </c>
      <c r="J24" s="21">
        <f t="shared" si="2"/>
        <v>13.672250400504355</v>
      </c>
      <c r="K24" s="21">
        <f t="shared" si="0"/>
        <v>20.602609974738243</v>
      </c>
      <c r="L24" s="21">
        <f t="shared" si="1"/>
        <v>206.02609974738243</v>
      </c>
      <c r="M24" s="22">
        <v>55</v>
      </c>
      <c r="N24" s="22">
        <v>67</v>
      </c>
      <c r="O24" s="19">
        <v>86</v>
      </c>
      <c r="P24" s="19">
        <v>5</v>
      </c>
      <c r="Q24">
        <v>614</v>
      </c>
      <c r="R24" s="21">
        <f t="shared" si="8"/>
        <v>3.1559045539702715</v>
      </c>
      <c r="S24" s="21">
        <v>0.53159610000000002</v>
      </c>
      <c r="T24" s="21">
        <v>0.61848800000000004</v>
      </c>
      <c r="U24" s="21">
        <f t="shared" ref="U24:U30" si="11">O24/$AG$2</f>
        <v>4.934687120753515</v>
      </c>
      <c r="V24" s="21">
        <v>0.66847559999999995</v>
      </c>
      <c r="W24" s="21">
        <v>0.754382</v>
      </c>
      <c r="X24" s="21">
        <f t="shared" si="10"/>
        <v>0.28690041399729738</v>
      </c>
      <c r="Y24" s="21">
        <v>0.14731810000000001</v>
      </c>
      <c r="Z24" s="21">
        <v>0.2452811</v>
      </c>
      <c r="AA24" s="21">
        <f t="shared" si="7"/>
        <v>35.231370838868123</v>
      </c>
      <c r="AC24" s="20"/>
    </row>
    <row r="25" spans="1:40">
      <c r="A25" s="11">
        <v>43903</v>
      </c>
      <c r="B25" s="13">
        <v>1328</v>
      </c>
      <c r="C25" s="13">
        <v>8754</v>
      </c>
      <c r="D25" s="13">
        <v>1439</v>
      </c>
      <c r="E25" s="13">
        <v>1266</v>
      </c>
      <c r="F25">
        <v>17660</v>
      </c>
      <c r="G25" s="21">
        <f t="shared" si="4"/>
        <v>21.954955903107358</v>
      </c>
      <c r="H25" s="18">
        <f t="shared" si="5"/>
        <v>7.5198187995469984E-2</v>
      </c>
      <c r="I25" s="21">
        <f t="shared" si="6"/>
        <v>144.72415962033267</v>
      </c>
      <c r="J25" s="21">
        <f t="shared" si="2"/>
        <v>20.929950431727345</v>
      </c>
      <c r="K25" s="21">
        <f t="shared" si="0"/>
        <v>29.196123588017766</v>
      </c>
      <c r="L25" s="21">
        <f t="shared" si="1"/>
        <v>291.96123588017764</v>
      </c>
      <c r="M25" s="22">
        <v>63</v>
      </c>
      <c r="N25" s="22">
        <v>78</v>
      </c>
      <c r="O25" s="19">
        <v>115</v>
      </c>
      <c r="P25" s="19">
        <v>10</v>
      </c>
      <c r="Q25">
        <v>804</v>
      </c>
      <c r="R25" s="21">
        <f t="shared" si="8"/>
        <v>3.6149452163659475</v>
      </c>
      <c r="S25" s="21">
        <v>0.57000830000000002</v>
      </c>
      <c r="T25" s="21">
        <v>0.65657750000000004</v>
      </c>
      <c r="U25" s="21">
        <f t="shared" si="11"/>
        <v>6.59870952193784</v>
      </c>
      <c r="V25" s="21">
        <v>0.77527389999999996</v>
      </c>
      <c r="W25" s="21">
        <v>0.86064700000000005</v>
      </c>
      <c r="X25" s="21">
        <f t="shared" si="10"/>
        <v>0.57380082799459475</v>
      </c>
      <c r="Y25" s="21">
        <v>0.21682180000000001</v>
      </c>
      <c r="Z25" s="21">
        <v>0.31023339999999999</v>
      </c>
      <c r="AA25" s="21">
        <f t="shared" si="7"/>
        <v>46.133586570765424</v>
      </c>
      <c r="AC25" s="20"/>
    </row>
    <row r="26" spans="1:40" ht="15" customHeight="1">
      <c r="A26" s="11">
        <v>43904</v>
      </c>
      <c r="B26" s="13">
        <v>1518</v>
      </c>
      <c r="C26" s="13">
        <v>9890</v>
      </c>
      <c r="D26" s="13">
        <v>1966</v>
      </c>
      <c r="E26" s="13">
        <v>1441</v>
      </c>
      <c r="F26">
        <v>21157</v>
      </c>
      <c r="G26" s="21">
        <f t="shared" si="4"/>
        <v>25.096101702497716</v>
      </c>
      <c r="H26" s="18">
        <f t="shared" si="5"/>
        <v>7.1749302831214251E-2</v>
      </c>
      <c r="I26" s="21">
        <f t="shared" si="6"/>
        <v>163.50490503142453</v>
      </c>
      <c r="J26" s="21">
        <f t="shared" si="2"/>
        <v>23.82311103642899</v>
      </c>
      <c r="K26" s="21">
        <f t="shared" si="0"/>
        <v>34.977485093527285</v>
      </c>
      <c r="L26" s="21">
        <f t="shared" si="1"/>
        <v>349.77485093527287</v>
      </c>
      <c r="M26" s="22">
        <v>80</v>
      </c>
      <c r="N26" s="22">
        <v>97</v>
      </c>
      <c r="O26" s="19">
        <v>136</v>
      </c>
      <c r="P26" s="19">
        <v>12</v>
      </c>
      <c r="Q26" s="12">
        <v>959</v>
      </c>
      <c r="R26" s="21">
        <f>M26/$AG$2</f>
        <v>4.590406623956758</v>
      </c>
      <c r="S26" s="21">
        <v>0.64421390000000001</v>
      </c>
      <c r="T26" s="21">
        <v>0.73026530000000001</v>
      </c>
      <c r="U26" s="21">
        <f t="shared" si="11"/>
        <v>7.803691260726489</v>
      </c>
      <c r="V26" s="21">
        <v>0.84433860000000005</v>
      </c>
      <c r="W26" s="21">
        <v>0.92943710000000002</v>
      </c>
      <c r="X26" s="21">
        <f t="shared" si="10"/>
        <v>0.68856099359351375</v>
      </c>
      <c r="Y26" s="21">
        <v>0.23931269999999999</v>
      </c>
      <c r="Z26" s="21">
        <v>0.33174769999999998</v>
      </c>
      <c r="AA26" s="21">
        <f t="shared" si="7"/>
        <v>55.027499404681642</v>
      </c>
      <c r="AB26">
        <f>R26/AA26</f>
        <v>8.3420229405630861E-2</v>
      </c>
      <c r="AC26" s="20"/>
    </row>
    <row r="27" spans="1:40">
      <c r="A27" s="11">
        <v>43905</v>
      </c>
      <c r="B27" s="13">
        <v>1672</v>
      </c>
      <c r="C27" s="13">
        <v>11335</v>
      </c>
      <c r="D27" s="13">
        <v>2335</v>
      </c>
      <c r="E27" s="13">
        <v>1809</v>
      </c>
      <c r="F27">
        <v>24747</v>
      </c>
      <c r="G27" s="21">
        <f t="shared" si="4"/>
        <v>27.642083034635167</v>
      </c>
      <c r="H27" s="18">
        <f t="shared" si="5"/>
        <v>6.7563745100416212E-2</v>
      </c>
      <c r="I27" s="21">
        <f t="shared" si="6"/>
        <v>187.39414545310385</v>
      </c>
      <c r="J27" s="21">
        <f t="shared" si="2"/>
        <v>29.907014479458741</v>
      </c>
      <c r="K27" s="21">
        <f t="shared" si="0"/>
        <v>40.912597419743811</v>
      </c>
      <c r="L27" s="21">
        <f t="shared" si="1"/>
        <v>409.1259741974381</v>
      </c>
      <c r="M27" s="22">
        <v>102</v>
      </c>
      <c r="N27" s="22">
        <v>122</v>
      </c>
      <c r="O27" s="19">
        <v>162</v>
      </c>
      <c r="P27" s="19">
        <v>20</v>
      </c>
      <c r="Q27">
        <v>1135</v>
      </c>
      <c r="R27" s="21">
        <f>M27/$AG$2</f>
        <v>5.852768445544867</v>
      </c>
      <c r="S27" s="21">
        <v>0.72930320000000004</v>
      </c>
      <c r="T27" s="21">
        <v>0.81488729999999998</v>
      </c>
      <c r="U27" s="21">
        <f t="shared" si="11"/>
        <v>9.2955734135124359</v>
      </c>
      <c r="V27" s="21">
        <v>0.92280620000000002</v>
      </c>
      <c r="W27" s="21">
        <v>1.0076419999999999</v>
      </c>
      <c r="X27" s="21">
        <f t="shared" si="10"/>
        <v>1.1476016559891895</v>
      </c>
      <c r="Y27" s="21">
        <v>0.3141408</v>
      </c>
      <c r="Z27" s="21">
        <v>0.4042482</v>
      </c>
      <c r="AA27" s="21">
        <f t="shared" si="7"/>
        <v>65.126393977386513</v>
      </c>
      <c r="AB27">
        <f>R27/AA27</f>
        <v>8.9867841409691632E-2</v>
      </c>
      <c r="AC27" s="20">
        <v>1000</v>
      </c>
    </row>
    <row r="28" spans="1:40">
      <c r="A28" s="11">
        <v>43906</v>
      </c>
      <c r="B28" s="13">
        <v>1851</v>
      </c>
      <c r="C28" s="13">
        <v>11025</v>
      </c>
      <c r="D28" s="13">
        <v>2749</v>
      </c>
      <c r="E28">
        <v>2158</v>
      </c>
      <c r="F28" s="16">
        <v>27980</v>
      </c>
      <c r="G28" s="21">
        <f t="shared" ref="G28:G30" si="12">B28/$AG$1</f>
        <v>30.601373024587136</v>
      </c>
      <c r="H28" s="18">
        <f t="shared" ref="H28:H30" si="13">B28/F28</f>
        <v>6.6154395997140819E-2</v>
      </c>
      <c r="I28" s="21">
        <f t="shared" ref="I28:I30" si="14">C28/$AG$1</f>
        <v>182.26911809620378</v>
      </c>
      <c r="J28" s="21">
        <f t="shared" ref="J28:J30" si="15">E28/$AG$1</f>
        <v>35.676803342549455</v>
      </c>
      <c r="K28" s="21">
        <f t="shared" si="0"/>
        <v>46.257504982601198</v>
      </c>
      <c r="L28" s="21">
        <f t="shared" si="1"/>
        <v>462.57504982601193</v>
      </c>
      <c r="M28" s="22">
        <v>128</v>
      </c>
      <c r="N28" s="22">
        <v>153</v>
      </c>
      <c r="O28" s="19">
        <v>205</v>
      </c>
      <c r="P28" s="19">
        <v>24</v>
      </c>
      <c r="Q28">
        <f>Q27+278</f>
        <v>1413</v>
      </c>
      <c r="R28" s="21">
        <f>M28/$AG$2</f>
        <v>7.344650598330813</v>
      </c>
      <c r="S28" s="21">
        <v>0.81870529999999997</v>
      </c>
      <c r="T28" s="21">
        <v>0.9039005</v>
      </c>
      <c r="U28" s="21">
        <f t="shared" si="11"/>
        <v>11.762916973889194</v>
      </c>
      <c r="V28" s="21">
        <v>1.039814</v>
      </c>
      <c r="W28" s="21">
        <v>1.1243289999999999</v>
      </c>
      <c r="X28" s="21">
        <f t="shared" si="10"/>
        <v>1.3771219871870275</v>
      </c>
      <c r="Y28" s="21">
        <v>0.34573979999999999</v>
      </c>
      <c r="Z28" s="21">
        <v>0.4351449</v>
      </c>
      <c r="AA28" s="21">
        <f t="shared" si="7"/>
        <v>81.078056995636246</v>
      </c>
      <c r="AB28">
        <f>R28/AA28</f>
        <v>9.0587402689313506E-2</v>
      </c>
      <c r="AC28" s="20">
        <v>1000</v>
      </c>
      <c r="AH28" s="31" t="s">
        <v>236</v>
      </c>
      <c r="AI28"/>
    </row>
    <row r="29" spans="1:40">
      <c r="A29" s="11">
        <v>43907</v>
      </c>
      <c r="B29" s="13">
        <v>2060</v>
      </c>
      <c r="C29" s="13">
        <v>12894</v>
      </c>
      <c r="D29" s="13">
        <v>2941</v>
      </c>
      <c r="E29" s="13">
        <v>2503</v>
      </c>
      <c r="F29" s="16">
        <v>31506</v>
      </c>
      <c r="G29" s="21">
        <f t="shared" si="12"/>
        <v>34.056633403916535</v>
      </c>
      <c r="H29" s="18">
        <f t="shared" si="13"/>
        <v>6.5384371230876662E-2</v>
      </c>
      <c r="I29" s="21">
        <f t="shared" si="14"/>
        <v>213.16807335441737</v>
      </c>
      <c r="J29" s="21">
        <f t="shared" si="15"/>
        <v>41.380462820389845</v>
      </c>
      <c r="K29" s="21">
        <f t="shared" si="0"/>
        <v>52.086810292417205</v>
      </c>
      <c r="L29" s="21">
        <f t="shared" si="1"/>
        <v>520.86810292417204</v>
      </c>
      <c r="M29" s="22">
        <v>148</v>
      </c>
      <c r="N29" s="22">
        <v>182</v>
      </c>
      <c r="O29" s="19">
        <v>314</v>
      </c>
      <c r="P29" s="19">
        <f>P28+19</f>
        <v>43</v>
      </c>
      <c r="Q29">
        <v>1705</v>
      </c>
      <c r="R29" s="21">
        <f>M29/$AG$2</f>
        <v>8.4922522543200039</v>
      </c>
      <c r="S29" s="21">
        <v>0.8814109</v>
      </c>
      <c r="T29" s="21">
        <v>0.9663794</v>
      </c>
      <c r="U29" s="21">
        <f t="shared" si="11"/>
        <v>18.017345999030276</v>
      </c>
      <c r="V29" s="21">
        <v>1.2901389999999999</v>
      </c>
      <c r="W29" s="21">
        <v>1.3741620000000001</v>
      </c>
      <c r="X29" s="21">
        <f t="shared" si="10"/>
        <v>2.4673435603767575</v>
      </c>
      <c r="Y29" s="21">
        <v>0.46825509999999998</v>
      </c>
      <c r="Z29" s="21">
        <v>0.55578970000000005</v>
      </c>
      <c r="AA29" s="21">
        <f t="shared" si="7"/>
        <v>97.833041173078414</v>
      </c>
      <c r="AC29" s="20">
        <v>1000</v>
      </c>
      <c r="AH29" t="s">
        <v>237</v>
      </c>
      <c r="AI29"/>
    </row>
    <row r="30" spans="1:40">
      <c r="A30" s="11">
        <v>43908</v>
      </c>
      <c r="B30" s="13">
        <v>2257</v>
      </c>
      <c r="C30" s="13">
        <v>14363</v>
      </c>
      <c r="D30" s="13">
        <v>4025</v>
      </c>
      <c r="E30" s="13">
        <v>2978</v>
      </c>
      <c r="F30" s="16">
        <v>35713</v>
      </c>
      <c r="G30" s="21">
        <f t="shared" si="12"/>
        <v>37.313505627494962</v>
      </c>
      <c r="H30" s="18">
        <f t="shared" si="13"/>
        <v>6.3198275137904963E-2</v>
      </c>
      <c r="I30" s="21">
        <f t="shared" si="14"/>
        <v>237.45409008759862</v>
      </c>
      <c r="J30" s="21">
        <f t="shared" si="15"/>
        <v>49.233327318865747</v>
      </c>
      <c r="K30" s="21">
        <f t="shared" si="0"/>
        <v>59.041968386119962</v>
      </c>
      <c r="L30" s="21">
        <f t="shared" si="1"/>
        <v>590.41968386119959</v>
      </c>
      <c r="M30" s="22">
        <v>161</v>
      </c>
      <c r="N30" s="22">
        <v>201</v>
      </c>
      <c r="O30" s="19">
        <v>408</v>
      </c>
      <c r="P30" s="19">
        <v>58</v>
      </c>
      <c r="Q30">
        <v>2051</v>
      </c>
      <c r="R30" s="21">
        <f>M30/$AG$2</f>
        <v>9.238193330712976</v>
      </c>
      <c r="S30" s="21">
        <v>0.91991040000000002</v>
      </c>
      <c r="T30" s="21">
        <v>1.0047550000000001</v>
      </c>
      <c r="U30" s="21">
        <f t="shared" si="11"/>
        <v>23.411073782179468</v>
      </c>
      <c r="V30" s="21">
        <v>1.472502</v>
      </c>
      <c r="W30" s="21">
        <v>1.55627</v>
      </c>
      <c r="X30" s="21">
        <f t="shared" si="10"/>
        <v>3.32804480236865</v>
      </c>
      <c r="Y30" s="21">
        <v>0.54631030000000003</v>
      </c>
      <c r="Z30" s="21">
        <v>0.63307340000000001</v>
      </c>
      <c r="AA30" s="21">
        <f t="shared" si="7"/>
        <v>117.6865498216914</v>
      </c>
      <c r="AC30" s="20">
        <v>1000</v>
      </c>
      <c r="AH30" t="s">
        <v>238</v>
      </c>
      <c r="AI30"/>
    </row>
    <row r="31" spans="1:40">
      <c r="A31" s="11">
        <v>43909</v>
      </c>
      <c r="B31" s="13"/>
      <c r="C31" s="13"/>
      <c r="D31" s="13"/>
      <c r="E31" s="13"/>
      <c r="F31" s="16"/>
      <c r="H31" s="18"/>
      <c r="AC31" s="20">
        <v>1000</v>
      </c>
      <c r="AI31"/>
    </row>
    <row r="32" spans="1:40" ht="15" customHeight="1">
      <c r="A32" s="11">
        <v>43910</v>
      </c>
      <c r="B32" s="13"/>
      <c r="C32" s="13"/>
      <c r="D32" s="13"/>
      <c r="E32" s="13"/>
      <c r="F32" s="16"/>
      <c r="H32" s="18"/>
      <c r="AC32" s="20">
        <v>1000</v>
      </c>
      <c r="AH32" s="31" t="s">
        <v>250</v>
      </c>
      <c r="AI32"/>
      <c r="AN32" s="31" t="s">
        <v>251</v>
      </c>
    </row>
    <row r="33" spans="1:54" ht="15" customHeight="1">
      <c r="A33" s="11">
        <v>43911</v>
      </c>
      <c r="B33" s="13"/>
      <c r="C33" s="13"/>
      <c r="D33" s="13"/>
      <c r="E33" s="13"/>
      <c r="F33" s="16"/>
      <c r="H33" s="18"/>
      <c r="AC33" s="20">
        <v>1000</v>
      </c>
      <c r="AH33" t="s">
        <v>240</v>
      </c>
      <c r="AI33" s="38" t="s">
        <v>219</v>
      </c>
      <c r="AJ33" s="41" t="s">
        <v>206</v>
      </c>
      <c r="AK33" s="38" t="s">
        <v>243</v>
      </c>
      <c r="AL33" s="49" t="s">
        <v>241</v>
      </c>
      <c r="AN33" t="s">
        <v>240</v>
      </c>
      <c r="AO33" s="38" t="s">
        <v>219</v>
      </c>
      <c r="AP33" s="41" t="s">
        <v>206</v>
      </c>
      <c r="AQ33" s="38" t="s">
        <v>243</v>
      </c>
      <c r="AR33" s="49" t="s">
        <v>241</v>
      </c>
    </row>
    <row r="34" spans="1:54" ht="15" customHeight="1">
      <c r="A34" s="11">
        <v>43912</v>
      </c>
      <c r="B34" s="13"/>
      <c r="C34" s="13"/>
      <c r="D34" s="13"/>
      <c r="E34" s="13"/>
      <c r="F34" s="16"/>
      <c r="H34" s="18"/>
      <c r="AC34" s="20">
        <v>1000</v>
      </c>
      <c r="AH34" t="s">
        <v>210</v>
      </c>
      <c r="AI34" s="44">
        <v>1E-4</v>
      </c>
      <c r="AJ34" s="43">
        <v>1776481</v>
      </c>
      <c r="AK34" s="46">
        <f>AJ34*AI34</f>
        <v>177.6481</v>
      </c>
      <c r="AL34" s="50">
        <f>AK34/AJ34</f>
        <v>1E-4</v>
      </c>
      <c r="AN34" t="s">
        <v>210</v>
      </c>
      <c r="AO34" s="44">
        <v>1E-4</v>
      </c>
      <c r="AP34" s="43">
        <v>1776481</v>
      </c>
      <c r="AQ34" s="46">
        <f>AP34*AO34</f>
        <v>177.6481</v>
      </c>
      <c r="AR34" s="50">
        <f t="shared" ref="AR34:AR39" si="16">AQ34/AP34</f>
        <v>1E-4</v>
      </c>
    </row>
    <row r="35" spans="1:54" ht="15" customHeight="1">
      <c r="A35" s="11">
        <v>43913</v>
      </c>
      <c r="B35" s="13"/>
      <c r="C35" s="13"/>
      <c r="D35" s="13"/>
      <c r="E35" s="13"/>
      <c r="H35" s="18"/>
      <c r="AC35" s="20">
        <v>1000</v>
      </c>
      <c r="AH35" s="25" t="s">
        <v>218</v>
      </c>
      <c r="AI35" s="44">
        <v>2.0000000000000001E-4</v>
      </c>
      <c r="AJ35" s="43">
        <v>2001656</v>
      </c>
      <c r="AK35" s="46">
        <f t="shared" ref="AK35:AK42" si="17">AJ35*AI35</f>
        <v>400.33120000000002</v>
      </c>
      <c r="AL35" s="50">
        <f t="shared" ref="AL35:AL42" si="18">AK35/AJ35</f>
        <v>2.0000000000000001E-4</v>
      </c>
      <c r="AM35" s="48"/>
      <c r="AN35" s="25" t="s">
        <v>218</v>
      </c>
      <c r="AO35" s="44">
        <v>2.0000000000000001E-4</v>
      </c>
      <c r="AP35" s="43">
        <v>2001656</v>
      </c>
      <c r="AQ35" s="46">
        <f t="shared" ref="AQ35:AQ42" si="19">AP35*AO35</f>
        <v>400.33120000000002</v>
      </c>
      <c r="AR35" s="50">
        <f t="shared" si="16"/>
        <v>2.0000000000000001E-4</v>
      </c>
      <c r="AX35" s="2"/>
      <c r="AZ35" s="2"/>
      <c r="BB35" s="2"/>
    </row>
    <row r="36" spans="1:54" ht="15" customHeight="1">
      <c r="AH36" t="s">
        <v>211</v>
      </c>
      <c r="AI36" s="44">
        <v>8.9999999999999998E-4</v>
      </c>
      <c r="AJ36" s="43">
        <v>2244283</v>
      </c>
      <c r="AK36" s="46">
        <f t="shared" si="17"/>
        <v>2019.8546999999999</v>
      </c>
      <c r="AL36" s="50">
        <f t="shared" si="18"/>
        <v>8.9999999999999998E-4</v>
      </c>
      <c r="AM36" s="48"/>
      <c r="AN36" t="s">
        <v>211</v>
      </c>
      <c r="AO36" s="44">
        <v>8.9999999999999998E-4</v>
      </c>
      <c r="AP36" s="43">
        <v>2244283</v>
      </c>
      <c r="AQ36" s="46">
        <f t="shared" si="19"/>
        <v>2019.8546999999999</v>
      </c>
      <c r="AR36" s="50">
        <f t="shared" si="16"/>
        <v>8.9999999999999998E-4</v>
      </c>
    </row>
    <row r="37" spans="1:54" ht="15" customHeight="1">
      <c r="AH37" t="s">
        <v>212</v>
      </c>
      <c r="AI37" s="45">
        <v>1.8E-3</v>
      </c>
      <c r="AJ37" s="43">
        <v>2143651</v>
      </c>
      <c r="AK37" s="46">
        <f t="shared" si="17"/>
        <v>3858.5717999999997</v>
      </c>
      <c r="AL37" s="50">
        <f t="shared" si="18"/>
        <v>1.8E-3</v>
      </c>
      <c r="AM37" s="48"/>
      <c r="AN37" t="s">
        <v>212</v>
      </c>
      <c r="AO37" s="45">
        <v>1.8E-3</v>
      </c>
      <c r="AP37" s="43">
        <v>2143651</v>
      </c>
      <c r="AQ37" s="46">
        <f t="shared" si="19"/>
        <v>3858.5717999999997</v>
      </c>
      <c r="AR37" s="50">
        <f t="shared" si="16"/>
        <v>1.8E-3</v>
      </c>
    </row>
    <row r="38" spans="1:54" ht="15" customHeight="1">
      <c r="AH38" t="s">
        <v>213</v>
      </c>
      <c r="AI38" s="45">
        <v>4.0000000000000001E-3</v>
      </c>
      <c r="AJ38" s="43">
        <v>2206346</v>
      </c>
      <c r="AK38" s="46">
        <f t="shared" si="17"/>
        <v>8825.384</v>
      </c>
      <c r="AL38" s="50">
        <f t="shared" si="18"/>
        <v>4.0000000000000001E-3</v>
      </c>
      <c r="AM38" s="48" t="s">
        <v>242</v>
      </c>
      <c r="AN38" t="s">
        <v>213</v>
      </c>
      <c r="AO38" s="45">
        <v>4.0000000000000001E-3</v>
      </c>
      <c r="AP38" s="43">
        <v>2206346</v>
      </c>
      <c r="AQ38" s="46">
        <f t="shared" si="19"/>
        <v>8825.384</v>
      </c>
      <c r="AR38" s="50">
        <f t="shared" si="16"/>
        <v>4.0000000000000001E-3</v>
      </c>
    </row>
    <row r="39" spans="1:54" ht="15" customHeight="1">
      <c r="AH39" t="s">
        <v>214</v>
      </c>
      <c r="AI39" s="45">
        <v>1.2999999999999999E-2</v>
      </c>
      <c r="AJ39" s="43">
        <v>2531817</v>
      </c>
      <c r="AK39" s="46">
        <f t="shared" si="17"/>
        <v>32913.620999999999</v>
      </c>
      <c r="AL39" s="50">
        <f t="shared" si="18"/>
        <v>1.2999999999999999E-2</v>
      </c>
      <c r="AM39" s="48"/>
      <c r="AN39" t="s">
        <v>214</v>
      </c>
      <c r="AO39" s="45">
        <v>1.2999999999999999E-2</v>
      </c>
      <c r="AP39" s="51">
        <f>AJ9-10372417</f>
        <v>84680.599999999627</v>
      </c>
      <c r="AQ39" s="46">
        <f t="shared" si="19"/>
        <v>1100.847799999995</v>
      </c>
      <c r="AR39" s="50">
        <f t="shared" si="16"/>
        <v>1.2999999999999998E-2</v>
      </c>
    </row>
    <row r="40" spans="1:54" ht="15" customHeight="1">
      <c r="AH40" t="s">
        <v>215</v>
      </c>
      <c r="AI40" s="45">
        <v>4.5999999999999999E-2</v>
      </c>
      <c r="AJ40" s="43">
        <v>2114090</v>
      </c>
      <c r="AK40" s="46">
        <f t="shared" si="17"/>
        <v>97248.14</v>
      </c>
      <c r="AL40" s="50">
        <f t="shared" si="18"/>
        <v>4.5999999999999999E-2</v>
      </c>
      <c r="AM40" s="48"/>
      <c r="AN40" t="s">
        <v>215</v>
      </c>
      <c r="AO40" s="45">
        <v>4.5999999999999999E-2</v>
      </c>
      <c r="AP40" s="43">
        <v>0</v>
      </c>
      <c r="AQ40" s="46">
        <f t="shared" si="19"/>
        <v>0</v>
      </c>
      <c r="AR40" s="52" t="s">
        <v>235</v>
      </c>
    </row>
    <row r="41" spans="1:54" ht="16" customHeight="1">
      <c r="AH41" t="s">
        <v>216</v>
      </c>
      <c r="AI41" s="45">
        <v>9.8000000000000004E-2</v>
      </c>
      <c r="AJ41" s="43">
        <v>1574580</v>
      </c>
      <c r="AK41" s="46">
        <f t="shared" si="17"/>
        <v>154308.84</v>
      </c>
      <c r="AL41" s="50">
        <f t="shared" si="18"/>
        <v>9.8000000000000004E-2</v>
      </c>
      <c r="AM41" s="48"/>
      <c r="AN41" t="s">
        <v>216</v>
      </c>
      <c r="AO41" s="45">
        <v>9.8000000000000004E-2</v>
      </c>
      <c r="AP41" s="43">
        <v>0</v>
      </c>
      <c r="AQ41" s="46">
        <f t="shared" si="19"/>
        <v>0</v>
      </c>
      <c r="AR41" s="52" t="s">
        <v>235</v>
      </c>
    </row>
    <row r="42" spans="1:54" ht="18" customHeight="1">
      <c r="AH42" t="s">
        <v>217</v>
      </c>
      <c r="AI42" s="45">
        <v>0.18</v>
      </c>
      <c r="AJ42" s="41">
        <f>691995+129700</f>
        <v>821695</v>
      </c>
      <c r="AK42" s="46">
        <f t="shared" si="17"/>
        <v>147905.1</v>
      </c>
      <c r="AL42" s="50">
        <f t="shared" si="18"/>
        <v>0.18</v>
      </c>
      <c r="AM42" s="48"/>
      <c r="AN42" t="s">
        <v>217</v>
      </c>
      <c r="AO42" s="45">
        <v>0.18</v>
      </c>
      <c r="AP42" s="41">
        <v>0</v>
      </c>
      <c r="AQ42" s="46">
        <f t="shared" si="19"/>
        <v>0</v>
      </c>
      <c r="AR42" s="52" t="s">
        <v>235</v>
      </c>
    </row>
    <row r="43" spans="1:54">
      <c r="AH43" s="26" t="s">
        <v>244</v>
      </c>
      <c r="AI43" s="40"/>
      <c r="AJ43" s="42">
        <f>SUM(AJ34:AJ42)</f>
        <v>17414599</v>
      </c>
      <c r="AK43" s="47">
        <f>SUM(AK34:AK42)</f>
        <v>447657.49080000003</v>
      </c>
      <c r="AL43" s="57">
        <f>AK43/AJ43</f>
        <v>2.5705874180622822E-2</v>
      </c>
      <c r="AN43" s="26" t="s">
        <v>239</v>
      </c>
      <c r="AO43" s="40"/>
      <c r="AP43" s="56">
        <f>SUM(AP34:AP42)</f>
        <v>10457097.6</v>
      </c>
      <c r="AQ43" s="47">
        <f>SUM(AQ34:AQ42)</f>
        <v>16382.637599999995</v>
      </c>
      <c r="AR43" s="57">
        <f>AQ43/AP43</f>
        <v>1.5666524523974983E-3</v>
      </c>
    </row>
    <row r="44" spans="1:54">
      <c r="AI44"/>
    </row>
    <row r="45" spans="1:54">
      <c r="AI45"/>
    </row>
    <row r="46" spans="1:54">
      <c r="AI46"/>
    </row>
    <row r="47" spans="1:54">
      <c r="AH47" t="s">
        <v>246</v>
      </c>
      <c r="AI47"/>
      <c r="AL47" s="58">
        <f>AR43</f>
        <v>1.5666524523974983E-3</v>
      </c>
      <c r="AM47" t="s">
        <v>224</v>
      </c>
    </row>
    <row r="48" spans="1:54">
      <c r="AI48"/>
      <c r="AL48" s="59">
        <f>AL43</f>
        <v>2.5705874180622822E-2</v>
      </c>
      <c r="AM48" t="s">
        <v>205</v>
      </c>
    </row>
    <row r="49" spans="34:38">
      <c r="AI49"/>
      <c r="AL49" s="54">
        <f>AR43/AL43</f>
        <v>6.0945309285705851E-2</v>
      </c>
    </row>
    <row r="50" spans="34:38">
      <c r="AI50"/>
    </row>
    <row r="51" spans="34:38">
      <c r="AI51"/>
    </row>
    <row r="52" spans="34:38">
      <c r="AH52" t="s">
        <v>252</v>
      </c>
      <c r="AI52"/>
    </row>
    <row r="53" spans="34:38">
      <c r="AH53" t="s">
        <v>245</v>
      </c>
      <c r="AI53"/>
    </row>
    <row r="54" spans="34:38">
      <c r="AH54" s="24"/>
      <c r="AI54"/>
    </row>
  </sheetData>
  <conditionalFormatting sqref="AP43">
    <cfRule type="cellIs" dxfId="0" priority="2" operator="equal">
      <formula>$AJ$9</formula>
    </cfRule>
  </conditionalFormatting>
  <hyperlinks>
    <hyperlink ref="AM7" r:id="rId1"/>
    <hyperlink ref="AM8" r:id="rId2"/>
    <hyperlink ref="AM18" r:id="rId3"/>
    <hyperlink ref="AM13" r:id="rId4"/>
    <hyperlink ref="AM22" r:id="rId5"/>
    <hyperlink ref="AH29" r:id="rId6" display="https://www.medrxiv.org/content/10.1101/2020.03.04.20031104v1.full.pdf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M22"/>
  <sheetViews>
    <sheetView tabSelected="1" showRuler="0" topLeftCell="A12" workbookViewId="0">
      <selection activeCell="P11" sqref="P11"/>
    </sheetView>
  </sheetViews>
  <sheetFormatPr baseColWidth="10" defaultRowHeight="15" x14ac:dyDescent="0"/>
  <sheetData>
    <row r="22" spans="13:13">
      <c r="M22" t="s">
        <v>200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avg.growth.rate</vt:lpstr>
      <vt:lpstr>1v7.day.growth.rate1</vt:lpstr>
      <vt:lpstr>1v7.day.growth.rate2</vt:lpstr>
      <vt:lpstr>1v7.day.growth.rate3</vt:lpstr>
      <vt:lpstr>Sheet13</vt:lpstr>
      <vt:lpstr>Sheet14</vt:lpstr>
      <vt:lpstr>ITA.v.NL1</vt:lpstr>
      <vt:lpstr>ITA.v.NL2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Caspar Verhey</dc:creator>
  <cp:lastModifiedBy>Caspar Verhey</cp:lastModifiedBy>
  <dcterms:created xsi:type="dcterms:W3CDTF">2020-03-12T21:56:53Z</dcterms:created>
  <dcterms:modified xsi:type="dcterms:W3CDTF">2020-03-19T17:03:00Z</dcterms:modified>
</cp:coreProperties>
</file>