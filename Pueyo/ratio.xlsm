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/>
  <workbookPr showInkAnnotation="0" autoCompressPictures="0"/>
  <bookViews>
    <workbookView xWindow="480" yWindow="480" windowWidth="25120" windowHeight="14020" tabRatio="500"/>
  </bookViews>
  <sheets>
    <sheet name="total_cases (version 1).csv" sheetId="2" r:id="rId1"/>
  </sheets>
  <definedNames>
    <definedName name="total_cases" localSheetId="0">'total_cases (version 1).csv'!$A$1:$G$73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11" i="2" l="1"/>
  <c r="C12" i="2"/>
  <c r="E12" i="2"/>
  <c r="E13" i="2"/>
  <c r="E14" i="2"/>
  <c r="E15" i="2"/>
  <c r="E16" i="2"/>
  <c r="E17" i="2"/>
  <c r="D18" i="2"/>
  <c r="E18" i="2"/>
  <c r="E19" i="2"/>
  <c r="D20" i="2"/>
  <c r="E20" i="2"/>
  <c r="D21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C9" i="2"/>
</calcChain>
</file>

<file path=xl/connections.xml><?xml version="1.0" encoding="utf-8"?>
<connections xmlns="http://schemas.openxmlformats.org/spreadsheetml/2006/main">
  <connection id="1" name="total_cases.csv" type="6" refreshedVersion="0" background="1" saveData="1">
    <textPr fileType="mac" sourceFile="macOS:Users:cwverhey:Downloads:total_cases.csv" decimal="," thousands="." tab="0" comma="1">
      <textFields count="12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<sst xmlns="http://schemas.openxmlformats.org/spreadsheetml/2006/main" count="7" uniqueCount="7">
  <si>
    <t>date</t>
  </si>
  <si>
    <t>Worldwide</t>
  </si>
  <si>
    <t>South Korea</t>
  </si>
  <si>
    <t>Thailand</t>
  </si>
  <si>
    <t>China, diagnosed</t>
  </si>
  <si>
    <t>China, symptomatic</t>
  </si>
  <si>
    <t>ratio symptomatic:diagnosed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</si>
</sst>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mmm\ d"/>
  </numFmts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164" fontId="0" fillId="0" borderId="0" xfId="0" applyNumberFormat="1"/>
  </cellXfs>
  <cellStyles count="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Normal" xfId="0" builtinId="0"/>
  </cellStyles>
  <dxfs count="0"/>
  <tableStyles count="0" defaultTableStyle="TableStyleMedium9" defaultPivotStyle="PivotStyleMedium4"/>
  <colors>
    <mruColors>
      <color rgb="FFFBA462"/>
      <color rgb="FFFAA381"/>
      <color rgb="FFF97B4F"/>
      <color rgb="FF465575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2"/>
          <c:tx>
            <c:strRef>
              <c:f>'total_cases (version 1).csv'!$E$1</c:f>
              <c:strCache>
                <c:ptCount val="1"/>
                <c:pt idx="0">
                  <c:v>ratio symptomatic:diagnosed</c:v>
                </c:pt>
              </c:strCache>
            </c:strRef>
          </c:tx>
          <c:spPr>
            <a:ln w="12700" cmpd="sng">
              <a:solidFill>
                <a:schemeClr val="bg1">
                  <a:lumMod val="50000"/>
                </a:schemeClr>
              </a:solidFill>
            </a:ln>
          </c:spPr>
          <c:marker>
            <c:symbol val="x"/>
            <c:size val="6"/>
            <c:spPr>
              <a:ln>
                <a:solidFill>
                  <a:schemeClr val="tx1"/>
                </a:solidFill>
              </a:ln>
            </c:spPr>
          </c:marker>
          <c:cat>
            <c:numRef>
              <c:f>'total_cases (version 1).csv'!$A$2:$A$73</c:f>
              <c:numCache>
                <c:formatCode>[$-409]mmmm\ d</c:formatCode>
                <c:ptCount val="72"/>
                <c:pt idx="0">
                  <c:v>43831.0</c:v>
                </c:pt>
                <c:pt idx="1">
                  <c:v>43832.0</c:v>
                </c:pt>
                <c:pt idx="2">
                  <c:v>43833.0</c:v>
                </c:pt>
                <c:pt idx="3">
                  <c:v>43834.0</c:v>
                </c:pt>
                <c:pt idx="4">
                  <c:v>43835.0</c:v>
                </c:pt>
                <c:pt idx="5">
                  <c:v>43836.0</c:v>
                </c:pt>
                <c:pt idx="6">
                  <c:v>43837.0</c:v>
                </c:pt>
                <c:pt idx="7">
                  <c:v>43838.0</c:v>
                </c:pt>
                <c:pt idx="8">
                  <c:v>43839.0</c:v>
                </c:pt>
                <c:pt idx="9">
                  <c:v>43840.0</c:v>
                </c:pt>
                <c:pt idx="10">
                  <c:v>43841.0</c:v>
                </c:pt>
                <c:pt idx="11">
                  <c:v>43842.0</c:v>
                </c:pt>
                <c:pt idx="12">
                  <c:v>43843.0</c:v>
                </c:pt>
                <c:pt idx="13">
                  <c:v>43844.0</c:v>
                </c:pt>
                <c:pt idx="14">
                  <c:v>43845.0</c:v>
                </c:pt>
                <c:pt idx="15">
                  <c:v>43846.0</c:v>
                </c:pt>
                <c:pt idx="16">
                  <c:v>43847.0</c:v>
                </c:pt>
                <c:pt idx="17">
                  <c:v>43848.0</c:v>
                </c:pt>
                <c:pt idx="18">
                  <c:v>43849.0</c:v>
                </c:pt>
                <c:pt idx="19">
                  <c:v>43850.0</c:v>
                </c:pt>
                <c:pt idx="20">
                  <c:v>43851.0</c:v>
                </c:pt>
                <c:pt idx="21">
                  <c:v>43852.0</c:v>
                </c:pt>
                <c:pt idx="22">
                  <c:v>43853.0</c:v>
                </c:pt>
                <c:pt idx="23">
                  <c:v>43854.0</c:v>
                </c:pt>
                <c:pt idx="24">
                  <c:v>43855.0</c:v>
                </c:pt>
                <c:pt idx="25">
                  <c:v>43856.0</c:v>
                </c:pt>
                <c:pt idx="26">
                  <c:v>43857.0</c:v>
                </c:pt>
                <c:pt idx="27">
                  <c:v>43858.0</c:v>
                </c:pt>
                <c:pt idx="28">
                  <c:v>43859.0</c:v>
                </c:pt>
                <c:pt idx="29">
                  <c:v>43860.0</c:v>
                </c:pt>
                <c:pt idx="30">
                  <c:v>43861.0</c:v>
                </c:pt>
                <c:pt idx="31">
                  <c:v>43862.0</c:v>
                </c:pt>
                <c:pt idx="32">
                  <c:v>43863.0</c:v>
                </c:pt>
                <c:pt idx="33">
                  <c:v>43864.0</c:v>
                </c:pt>
                <c:pt idx="34">
                  <c:v>43865.0</c:v>
                </c:pt>
                <c:pt idx="35">
                  <c:v>43866.0</c:v>
                </c:pt>
                <c:pt idx="36">
                  <c:v>43867.0</c:v>
                </c:pt>
                <c:pt idx="37">
                  <c:v>43868.0</c:v>
                </c:pt>
                <c:pt idx="38">
                  <c:v>43869.0</c:v>
                </c:pt>
                <c:pt idx="39">
                  <c:v>43870.0</c:v>
                </c:pt>
                <c:pt idx="40">
                  <c:v>43871.0</c:v>
                </c:pt>
                <c:pt idx="41">
                  <c:v>43872.0</c:v>
                </c:pt>
                <c:pt idx="42">
                  <c:v>43873.0</c:v>
                </c:pt>
                <c:pt idx="43">
                  <c:v>43874.0</c:v>
                </c:pt>
                <c:pt idx="44">
                  <c:v>43875.0</c:v>
                </c:pt>
                <c:pt idx="45">
                  <c:v>43876.0</c:v>
                </c:pt>
                <c:pt idx="46">
                  <c:v>43877.0</c:v>
                </c:pt>
                <c:pt idx="47">
                  <c:v>43878.0</c:v>
                </c:pt>
                <c:pt idx="48">
                  <c:v>43879.0</c:v>
                </c:pt>
                <c:pt idx="49">
                  <c:v>43880.0</c:v>
                </c:pt>
                <c:pt idx="50">
                  <c:v>43881.0</c:v>
                </c:pt>
                <c:pt idx="51">
                  <c:v>43882.0</c:v>
                </c:pt>
                <c:pt idx="52">
                  <c:v>43883.0</c:v>
                </c:pt>
                <c:pt idx="53">
                  <c:v>43884.0</c:v>
                </c:pt>
                <c:pt idx="54">
                  <c:v>43885.0</c:v>
                </c:pt>
                <c:pt idx="55">
                  <c:v>43886.0</c:v>
                </c:pt>
                <c:pt idx="56">
                  <c:v>43887.0</c:v>
                </c:pt>
                <c:pt idx="57">
                  <c:v>43888.0</c:v>
                </c:pt>
                <c:pt idx="58">
                  <c:v>43889.0</c:v>
                </c:pt>
                <c:pt idx="59">
                  <c:v>43890.0</c:v>
                </c:pt>
                <c:pt idx="60">
                  <c:v>43891.0</c:v>
                </c:pt>
                <c:pt idx="61">
                  <c:v>43892.0</c:v>
                </c:pt>
                <c:pt idx="62">
                  <c:v>43893.0</c:v>
                </c:pt>
                <c:pt idx="63">
                  <c:v>43894.0</c:v>
                </c:pt>
                <c:pt idx="64">
                  <c:v>43895.0</c:v>
                </c:pt>
                <c:pt idx="65">
                  <c:v>43896.0</c:v>
                </c:pt>
                <c:pt idx="66">
                  <c:v>43897.0</c:v>
                </c:pt>
                <c:pt idx="67">
                  <c:v>43898.0</c:v>
                </c:pt>
                <c:pt idx="68">
                  <c:v>43899.0</c:v>
                </c:pt>
                <c:pt idx="69">
                  <c:v>43900.0</c:v>
                </c:pt>
                <c:pt idx="70">
                  <c:v>43901.0</c:v>
                </c:pt>
                <c:pt idx="71">
                  <c:v>43902.0</c:v>
                </c:pt>
              </c:numCache>
            </c:numRef>
          </c:cat>
          <c:val>
            <c:numRef>
              <c:f>'total_cases (version 1).csv'!$E$3:$E$73</c:f>
              <c:numCache>
                <c:formatCode>General</c:formatCode>
                <c:ptCount val="71"/>
                <c:pt idx="0">
                  <c:v>1000.0</c:v>
                </c:pt>
                <c:pt idx="1">
                  <c:v>1000.0</c:v>
                </c:pt>
                <c:pt idx="2">
                  <c:v>1000.0</c:v>
                </c:pt>
                <c:pt idx="3">
                  <c:v>1000.0</c:v>
                </c:pt>
                <c:pt idx="4">
                  <c:v>1000.0</c:v>
                </c:pt>
                <c:pt idx="5">
                  <c:v>1000.0</c:v>
                </c:pt>
                <c:pt idx="6">
                  <c:v>1000.0</c:v>
                </c:pt>
                <c:pt idx="7">
                  <c:v>1000.0</c:v>
                </c:pt>
                <c:pt idx="8">
                  <c:v>1000.0</c:v>
                </c:pt>
                <c:pt idx="9">
                  <c:v>4.829268292682926</c:v>
                </c:pt>
                <c:pt idx="10">
                  <c:v>6.780487804878049</c:v>
                </c:pt>
                <c:pt idx="11">
                  <c:v>7.560975609756097</c:v>
                </c:pt>
                <c:pt idx="12">
                  <c:v>14.0</c:v>
                </c:pt>
                <c:pt idx="13">
                  <c:v>20.36585365853659</c:v>
                </c:pt>
                <c:pt idx="14">
                  <c:v>28.82222222222222</c:v>
                </c:pt>
                <c:pt idx="15">
                  <c:v>37.58014136601412</c:v>
                </c:pt>
                <c:pt idx="16">
                  <c:v>44.53225806451613</c:v>
                </c:pt>
                <c:pt idx="17">
                  <c:v>37.49586776859504</c:v>
                </c:pt>
                <c:pt idx="18">
                  <c:v>30.28787878787879</c:v>
                </c:pt>
                <c:pt idx="19">
                  <c:v>27.8273381294964</c:v>
                </c:pt>
                <c:pt idx="20">
                  <c:v>31.35483870967742</c:v>
                </c:pt>
                <c:pt idx="21">
                  <c:v>20.59407665505227</c:v>
                </c:pt>
                <c:pt idx="22">
                  <c:v>17.25868263473054</c:v>
                </c:pt>
                <c:pt idx="23">
                  <c:v>13.29067077872012</c:v>
                </c:pt>
                <c:pt idx="24">
                  <c:v>10.31284634760705</c:v>
                </c:pt>
                <c:pt idx="25">
                  <c:v>8.823976819992756</c:v>
                </c:pt>
                <c:pt idx="26">
                  <c:v>6.184703548600397</c:v>
                </c:pt>
                <c:pt idx="27">
                  <c:v>5.204435551108888</c:v>
                </c:pt>
                <c:pt idx="28">
                  <c:v>4.472337125129265</c:v>
                </c:pt>
                <c:pt idx="29">
                  <c:v>3.832407407407407</c:v>
                </c:pt>
                <c:pt idx="30">
                  <c:v>3.40368835123932</c:v>
                </c:pt>
                <c:pt idx="31">
                  <c:v>2.963569495524252</c:v>
                </c:pt>
                <c:pt idx="32">
                  <c:v>2.594848590323703</c:v>
                </c:pt>
                <c:pt idx="33">
                  <c:v>2.273948512529921</c:v>
                </c:pt>
                <c:pt idx="34">
                  <c:v>1.992693839018183</c:v>
                </c:pt>
                <c:pt idx="35">
                  <c:v>1.783820384889522</c:v>
                </c:pt>
                <c:pt idx="36">
                  <c:v>1.639614238569735</c:v>
                </c:pt>
                <c:pt idx="37">
                  <c:v>2.041591999537546</c:v>
                </c:pt>
                <c:pt idx="38">
                  <c:v>1.947008134009825</c:v>
                </c:pt>
                <c:pt idx="39">
                  <c:v>1.846153846153846</c:v>
                </c:pt>
                <c:pt idx="40">
                  <c:v>1.748501451718647</c:v>
                </c:pt>
                <c:pt idx="41">
                  <c:v>1.689447797898502</c:v>
                </c:pt>
                <c:pt idx="42">
                  <c:v>1.641074113856069</c:v>
                </c:pt>
                <c:pt idx="43">
                  <c:v>1.586924281123836</c:v>
                </c:pt>
                <c:pt idx="44">
                  <c:v>1.543572941223479</c:v>
                </c:pt>
                <c:pt idx="45">
                  <c:v>1.519912455543831</c:v>
                </c:pt>
                <c:pt idx="46">
                  <c:v>1.106972464075883</c:v>
                </c:pt>
                <c:pt idx="47">
                  <c:v>1.084133024487095</c:v>
                </c:pt>
                <c:pt idx="48">
                  <c:v>1.0630183091007</c:v>
                </c:pt>
                <c:pt idx="49">
                  <c:v>1.063193839973217</c:v>
                </c:pt>
                <c:pt idx="50">
                  <c:v>1.058211700565046</c:v>
                </c:pt>
                <c:pt idx="51">
                  <c:v>1.04950780186407</c:v>
                </c:pt>
                <c:pt idx="52">
                  <c:v>1.042340541522806</c:v>
                </c:pt>
                <c:pt idx="53">
                  <c:v>1.040899795501022</c:v>
                </c:pt>
                <c:pt idx="54">
                  <c:v>1.035806119825148</c:v>
                </c:pt>
                <c:pt idx="55">
                  <c:v>1.032228773132458</c:v>
                </c:pt>
                <c:pt idx="56">
                  <c:v>1.027762940353555</c:v>
                </c:pt>
                <c:pt idx="57">
                  <c:v>1.024037182913084</c:v>
                </c:pt>
                <c:pt idx="58">
                  <c:v>1.019019069451092</c:v>
                </c:pt>
                <c:pt idx="59">
                  <c:v>1.011954781912765</c:v>
                </c:pt>
                <c:pt idx="60">
                  <c:v>1.009741312644997</c:v>
                </c:pt>
                <c:pt idx="61">
                  <c:v>1.008430464235904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5798584"/>
        <c:axId val="2115801656"/>
      </c:lineChart>
      <c:lineChart>
        <c:grouping val="standard"/>
        <c:varyColors val="0"/>
        <c:ser>
          <c:idx val="1"/>
          <c:order val="0"/>
          <c:tx>
            <c:strRef>
              <c:f>'total_cases (version 1).csv'!$C$1</c:f>
              <c:strCache>
                <c:ptCount val="1"/>
                <c:pt idx="0">
                  <c:v>China, symptomatic</c:v>
                </c:pt>
              </c:strCache>
            </c:strRef>
          </c:tx>
          <c:spPr>
            <a:ln w="50800" cap="flat">
              <a:solidFill>
                <a:srgbClr val="465575"/>
              </a:solidFill>
            </a:ln>
          </c:spPr>
          <c:marker>
            <c:symbol val="none"/>
          </c:marker>
          <c:cat>
            <c:numRef>
              <c:f>'total_cases (version 1).csv'!$A$2:$A$73</c:f>
              <c:numCache>
                <c:formatCode>[$-409]mmmm\ d</c:formatCode>
                <c:ptCount val="72"/>
                <c:pt idx="0">
                  <c:v>43831.0</c:v>
                </c:pt>
                <c:pt idx="1">
                  <c:v>43832.0</c:v>
                </c:pt>
                <c:pt idx="2">
                  <c:v>43833.0</c:v>
                </c:pt>
                <c:pt idx="3">
                  <c:v>43834.0</c:v>
                </c:pt>
                <c:pt idx="4">
                  <c:v>43835.0</c:v>
                </c:pt>
                <c:pt idx="5">
                  <c:v>43836.0</c:v>
                </c:pt>
                <c:pt idx="6">
                  <c:v>43837.0</c:v>
                </c:pt>
                <c:pt idx="7">
                  <c:v>43838.0</c:v>
                </c:pt>
                <c:pt idx="8">
                  <c:v>43839.0</c:v>
                </c:pt>
                <c:pt idx="9">
                  <c:v>43840.0</c:v>
                </c:pt>
                <c:pt idx="10">
                  <c:v>43841.0</c:v>
                </c:pt>
                <c:pt idx="11">
                  <c:v>43842.0</c:v>
                </c:pt>
                <c:pt idx="12">
                  <c:v>43843.0</c:v>
                </c:pt>
                <c:pt idx="13">
                  <c:v>43844.0</c:v>
                </c:pt>
                <c:pt idx="14">
                  <c:v>43845.0</c:v>
                </c:pt>
                <c:pt idx="15">
                  <c:v>43846.0</c:v>
                </c:pt>
                <c:pt idx="16">
                  <c:v>43847.0</c:v>
                </c:pt>
                <c:pt idx="17">
                  <c:v>43848.0</c:v>
                </c:pt>
                <c:pt idx="18">
                  <c:v>43849.0</c:v>
                </c:pt>
                <c:pt idx="19">
                  <c:v>43850.0</c:v>
                </c:pt>
                <c:pt idx="20">
                  <c:v>43851.0</c:v>
                </c:pt>
                <c:pt idx="21">
                  <c:v>43852.0</c:v>
                </c:pt>
                <c:pt idx="22">
                  <c:v>43853.0</c:v>
                </c:pt>
                <c:pt idx="23">
                  <c:v>43854.0</c:v>
                </c:pt>
                <c:pt idx="24">
                  <c:v>43855.0</c:v>
                </c:pt>
                <c:pt idx="25">
                  <c:v>43856.0</c:v>
                </c:pt>
                <c:pt idx="26">
                  <c:v>43857.0</c:v>
                </c:pt>
                <c:pt idx="27">
                  <c:v>43858.0</c:v>
                </c:pt>
                <c:pt idx="28">
                  <c:v>43859.0</c:v>
                </c:pt>
                <c:pt idx="29">
                  <c:v>43860.0</c:v>
                </c:pt>
                <c:pt idx="30">
                  <c:v>43861.0</c:v>
                </c:pt>
                <c:pt idx="31">
                  <c:v>43862.0</c:v>
                </c:pt>
                <c:pt idx="32">
                  <c:v>43863.0</c:v>
                </c:pt>
                <c:pt idx="33">
                  <c:v>43864.0</c:v>
                </c:pt>
                <c:pt idx="34">
                  <c:v>43865.0</c:v>
                </c:pt>
                <c:pt idx="35">
                  <c:v>43866.0</c:v>
                </c:pt>
                <c:pt idx="36">
                  <c:v>43867.0</c:v>
                </c:pt>
                <c:pt idx="37">
                  <c:v>43868.0</c:v>
                </c:pt>
                <c:pt idx="38">
                  <c:v>43869.0</c:v>
                </c:pt>
                <c:pt idx="39">
                  <c:v>43870.0</c:v>
                </c:pt>
                <c:pt idx="40">
                  <c:v>43871.0</c:v>
                </c:pt>
                <c:pt idx="41">
                  <c:v>43872.0</c:v>
                </c:pt>
                <c:pt idx="42">
                  <c:v>43873.0</c:v>
                </c:pt>
                <c:pt idx="43">
                  <c:v>43874.0</c:v>
                </c:pt>
                <c:pt idx="44">
                  <c:v>43875.0</c:v>
                </c:pt>
                <c:pt idx="45">
                  <c:v>43876.0</c:v>
                </c:pt>
                <c:pt idx="46">
                  <c:v>43877.0</c:v>
                </c:pt>
                <c:pt idx="47">
                  <c:v>43878.0</c:v>
                </c:pt>
                <c:pt idx="48">
                  <c:v>43879.0</c:v>
                </c:pt>
                <c:pt idx="49">
                  <c:v>43880.0</c:v>
                </c:pt>
                <c:pt idx="50">
                  <c:v>43881.0</c:v>
                </c:pt>
                <c:pt idx="51">
                  <c:v>43882.0</c:v>
                </c:pt>
                <c:pt idx="52">
                  <c:v>43883.0</c:v>
                </c:pt>
                <c:pt idx="53">
                  <c:v>43884.0</c:v>
                </c:pt>
                <c:pt idx="54">
                  <c:v>43885.0</c:v>
                </c:pt>
                <c:pt idx="55">
                  <c:v>43886.0</c:v>
                </c:pt>
                <c:pt idx="56">
                  <c:v>43887.0</c:v>
                </c:pt>
                <c:pt idx="57">
                  <c:v>43888.0</c:v>
                </c:pt>
                <c:pt idx="58">
                  <c:v>43889.0</c:v>
                </c:pt>
                <c:pt idx="59">
                  <c:v>43890.0</c:v>
                </c:pt>
                <c:pt idx="60">
                  <c:v>43891.0</c:v>
                </c:pt>
                <c:pt idx="61">
                  <c:v>43892.0</c:v>
                </c:pt>
                <c:pt idx="62">
                  <c:v>43893.0</c:v>
                </c:pt>
                <c:pt idx="63">
                  <c:v>43894.0</c:v>
                </c:pt>
                <c:pt idx="64">
                  <c:v>43895.0</c:v>
                </c:pt>
                <c:pt idx="65">
                  <c:v>43896.0</c:v>
                </c:pt>
                <c:pt idx="66">
                  <c:v>43897.0</c:v>
                </c:pt>
                <c:pt idx="67">
                  <c:v>43898.0</c:v>
                </c:pt>
                <c:pt idx="68">
                  <c:v>43899.0</c:v>
                </c:pt>
                <c:pt idx="69">
                  <c:v>43900.0</c:v>
                </c:pt>
                <c:pt idx="70">
                  <c:v>43901.0</c:v>
                </c:pt>
                <c:pt idx="71">
                  <c:v>43902.0</c:v>
                </c:pt>
              </c:numCache>
            </c:numRef>
          </c:cat>
          <c:val>
            <c:numRef>
              <c:f>'total_cases (version 1).csv'!$C$2:$C$73</c:f>
              <c:numCache>
                <c:formatCode>General</c:formatCode>
                <c:ptCount val="72"/>
                <c:pt idx="0">
                  <c:v>12.0</c:v>
                </c:pt>
                <c:pt idx="1">
                  <c:v>41.0</c:v>
                </c:pt>
                <c:pt idx="2">
                  <c:v>41.0</c:v>
                </c:pt>
                <c:pt idx="3">
                  <c:v>41.0</c:v>
                </c:pt>
                <c:pt idx="4">
                  <c:v>41.0</c:v>
                </c:pt>
                <c:pt idx="5">
                  <c:v>41.0</c:v>
                </c:pt>
                <c:pt idx="6">
                  <c:v>45.0</c:v>
                </c:pt>
                <c:pt idx="7">
                  <c:v>52.82045058497703</c:v>
                </c:pt>
                <c:pt idx="8">
                  <c:v>62.0</c:v>
                </c:pt>
                <c:pt idx="9">
                  <c:v>121.0</c:v>
                </c:pt>
                <c:pt idx="10">
                  <c:v>198.0</c:v>
                </c:pt>
                <c:pt idx="11">
                  <c:v>278.0</c:v>
                </c:pt>
                <c:pt idx="12">
                  <c:v>310.0</c:v>
                </c:pt>
                <c:pt idx="13">
                  <c:v>574.0</c:v>
                </c:pt>
                <c:pt idx="14">
                  <c:v>835.0</c:v>
                </c:pt>
                <c:pt idx="15">
                  <c:v>1297.0</c:v>
                </c:pt>
                <c:pt idx="16">
                  <c:v>1985.0</c:v>
                </c:pt>
                <c:pt idx="17">
                  <c:v>2761.0</c:v>
                </c:pt>
                <c:pt idx="18">
                  <c:v>4537.0</c:v>
                </c:pt>
                <c:pt idx="19">
                  <c:v>5997.0</c:v>
                </c:pt>
                <c:pt idx="20">
                  <c:v>7736.0</c:v>
                </c:pt>
                <c:pt idx="21">
                  <c:v>9720.0</c:v>
                </c:pt>
                <c:pt idx="22">
                  <c:v>11821.0</c:v>
                </c:pt>
                <c:pt idx="23">
                  <c:v>14411.0</c:v>
                </c:pt>
                <c:pt idx="24">
                  <c:v>17238.0</c:v>
                </c:pt>
                <c:pt idx="25">
                  <c:v>20471.0</c:v>
                </c:pt>
                <c:pt idx="26">
                  <c:v>24363.0</c:v>
                </c:pt>
                <c:pt idx="27">
                  <c:v>28060.0</c:v>
                </c:pt>
                <c:pt idx="28">
                  <c:v>31211.0</c:v>
                </c:pt>
                <c:pt idx="29">
                  <c:v>34598.0</c:v>
                </c:pt>
                <c:pt idx="30">
                  <c:v>37251.0</c:v>
                </c:pt>
                <c:pt idx="31">
                  <c:v>40235.0</c:v>
                </c:pt>
                <c:pt idx="32">
                  <c:v>42708.0</c:v>
                </c:pt>
                <c:pt idx="33">
                  <c:v>44730.0</c:v>
                </c:pt>
                <c:pt idx="34">
                  <c:v>46550.0</c:v>
                </c:pt>
                <c:pt idx="35">
                  <c:v>48548.0</c:v>
                </c:pt>
                <c:pt idx="36">
                  <c:v>50054.0</c:v>
                </c:pt>
                <c:pt idx="37">
                  <c:v>51174.0</c:v>
                </c:pt>
                <c:pt idx="38">
                  <c:v>70635.0</c:v>
                </c:pt>
                <c:pt idx="39">
                  <c:v>72528.0</c:v>
                </c:pt>
                <c:pt idx="40">
                  <c:v>74280.0</c:v>
                </c:pt>
                <c:pt idx="41">
                  <c:v>74675.0</c:v>
                </c:pt>
                <c:pt idx="42">
                  <c:v>75569.0</c:v>
                </c:pt>
                <c:pt idx="43">
                  <c:v>76392.0</c:v>
                </c:pt>
                <c:pt idx="44">
                  <c:v>77042.0</c:v>
                </c:pt>
                <c:pt idx="45">
                  <c:v>77262.0</c:v>
                </c:pt>
                <c:pt idx="46">
                  <c:v>77780.0</c:v>
                </c:pt>
                <c:pt idx="47">
                  <c:v>78191.0</c:v>
                </c:pt>
                <c:pt idx="48">
                  <c:v>78630.0</c:v>
                </c:pt>
                <c:pt idx="49">
                  <c:v>78961.0</c:v>
                </c:pt>
                <c:pt idx="50">
                  <c:v>79394.0</c:v>
                </c:pt>
                <c:pt idx="51">
                  <c:v>79968.0</c:v>
                </c:pt>
                <c:pt idx="52">
                  <c:v>80174.0</c:v>
                </c:pt>
                <c:pt idx="53">
                  <c:v>80304.0</c:v>
                </c:pt>
                <c:pt idx="54">
                  <c:v>80422.0</c:v>
                </c:pt>
                <c:pt idx="55">
                  <c:v>80565.0</c:v>
                </c:pt>
                <c:pt idx="56">
                  <c:v>80711.0</c:v>
                </c:pt>
                <c:pt idx="57">
                  <c:v>80813.0</c:v>
                </c:pt>
                <c:pt idx="58">
                  <c:v>80859.0</c:v>
                </c:pt>
                <c:pt idx="59">
                  <c:v>80904.0</c:v>
                </c:pt>
                <c:pt idx="60">
                  <c:v>80924.0</c:v>
                </c:pt>
                <c:pt idx="61">
                  <c:v>80955.0</c:v>
                </c:pt>
                <c:pt idx="62">
                  <c:v>80981.0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'total_cases (version 1).csv'!$D$1</c:f>
              <c:strCache>
                <c:ptCount val="1"/>
                <c:pt idx="0">
                  <c:v>China, diagnosed</c:v>
                </c:pt>
              </c:strCache>
            </c:strRef>
          </c:tx>
          <c:spPr>
            <a:ln w="50800" cap="flat">
              <a:solidFill>
                <a:srgbClr val="FBA462"/>
              </a:solidFill>
              <a:round/>
            </a:ln>
          </c:spPr>
          <c:marker>
            <c:symbol val="none"/>
          </c:marker>
          <c:cat>
            <c:numRef>
              <c:f>'total_cases (version 1).csv'!$A$2:$A$73</c:f>
              <c:numCache>
                <c:formatCode>[$-409]mmmm\ d</c:formatCode>
                <c:ptCount val="72"/>
                <c:pt idx="0">
                  <c:v>43831.0</c:v>
                </c:pt>
                <c:pt idx="1">
                  <c:v>43832.0</c:v>
                </c:pt>
                <c:pt idx="2">
                  <c:v>43833.0</c:v>
                </c:pt>
                <c:pt idx="3">
                  <c:v>43834.0</c:v>
                </c:pt>
                <c:pt idx="4">
                  <c:v>43835.0</c:v>
                </c:pt>
                <c:pt idx="5">
                  <c:v>43836.0</c:v>
                </c:pt>
                <c:pt idx="6">
                  <c:v>43837.0</c:v>
                </c:pt>
                <c:pt idx="7">
                  <c:v>43838.0</c:v>
                </c:pt>
                <c:pt idx="8">
                  <c:v>43839.0</c:v>
                </c:pt>
                <c:pt idx="9">
                  <c:v>43840.0</c:v>
                </c:pt>
                <c:pt idx="10">
                  <c:v>43841.0</c:v>
                </c:pt>
                <c:pt idx="11">
                  <c:v>43842.0</c:v>
                </c:pt>
                <c:pt idx="12">
                  <c:v>43843.0</c:v>
                </c:pt>
                <c:pt idx="13">
                  <c:v>43844.0</c:v>
                </c:pt>
                <c:pt idx="14">
                  <c:v>43845.0</c:v>
                </c:pt>
                <c:pt idx="15">
                  <c:v>43846.0</c:v>
                </c:pt>
                <c:pt idx="16">
                  <c:v>43847.0</c:v>
                </c:pt>
                <c:pt idx="17">
                  <c:v>43848.0</c:v>
                </c:pt>
                <c:pt idx="18">
                  <c:v>43849.0</c:v>
                </c:pt>
                <c:pt idx="19">
                  <c:v>43850.0</c:v>
                </c:pt>
                <c:pt idx="20">
                  <c:v>43851.0</c:v>
                </c:pt>
                <c:pt idx="21">
                  <c:v>43852.0</c:v>
                </c:pt>
                <c:pt idx="22">
                  <c:v>43853.0</c:v>
                </c:pt>
                <c:pt idx="23">
                  <c:v>43854.0</c:v>
                </c:pt>
                <c:pt idx="24">
                  <c:v>43855.0</c:v>
                </c:pt>
                <c:pt idx="25">
                  <c:v>43856.0</c:v>
                </c:pt>
                <c:pt idx="26">
                  <c:v>43857.0</c:v>
                </c:pt>
                <c:pt idx="27">
                  <c:v>43858.0</c:v>
                </c:pt>
                <c:pt idx="28">
                  <c:v>43859.0</c:v>
                </c:pt>
                <c:pt idx="29">
                  <c:v>43860.0</c:v>
                </c:pt>
                <c:pt idx="30">
                  <c:v>43861.0</c:v>
                </c:pt>
                <c:pt idx="31">
                  <c:v>43862.0</c:v>
                </c:pt>
                <c:pt idx="32">
                  <c:v>43863.0</c:v>
                </c:pt>
                <c:pt idx="33">
                  <c:v>43864.0</c:v>
                </c:pt>
                <c:pt idx="34">
                  <c:v>43865.0</c:v>
                </c:pt>
                <c:pt idx="35">
                  <c:v>43866.0</c:v>
                </c:pt>
                <c:pt idx="36">
                  <c:v>43867.0</c:v>
                </c:pt>
                <c:pt idx="37">
                  <c:v>43868.0</c:v>
                </c:pt>
                <c:pt idx="38">
                  <c:v>43869.0</c:v>
                </c:pt>
                <c:pt idx="39">
                  <c:v>43870.0</c:v>
                </c:pt>
                <c:pt idx="40">
                  <c:v>43871.0</c:v>
                </c:pt>
                <c:pt idx="41">
                  <c:v>43872.0</c:v>
                </c:pt>
                <c:pt idx="42">
                  <c:v>43873.0</c:v>
                </c:pt>
                <c:pt idx="43">
                  <c:v>43874.0</c:v>
                </c:pt>
                <c:pt idx="44">
                  <c:v>43875.0</c:v>
                </c:pt>
                <c:pt idx="45">
                  <c:v>43876.0</c:v>
                </c:pt>
                <c:pt idx="46">
                  <c:v>43877.0</c:v>
                </c:pt>
                <c:pt idx="47">
                  <c:v>43878.0</c:v>
                </c:pt>
                <c:pt idx="48">
                  <c:v>43879.0</c:v>
                </c:pt>
                <c:pt idx="49">
                  <c:v>43880.0</c:v>
                </c:pt>
                <c:pt idx="50">
                  <c:v>43881.0</c:v>
                </c:pt>
                <c:pt idx="51">
                  <c:v>43882.0</c:v>
                </c:pt>
                <c:pt idx="52">
                  <c:v>43883.0</c:v>
                </c:pt>
                <c:pt idx="53">
                  <c:v>43884.0</c:v>
                </c:pt>
                <c:pt idx="54">
                  <c:v>43885.0</c:v>
                </c:pt>
                <c:pt idx="55">
                  <c:v>43886.0</c:v>
                </c:pt>
                <c:pt idx="56">
                  <c:v>43887.0</c:v>
                </c:pt>
                <c:pt idx="57">
                  <c:v>43888.0</c:v>
                </c:pt>
                <c:pt idx="58">
                  <c:v>43889.0</c:v>
                </c:pt>
                <c:pt idx="59">
                  <c:v>43890.0</c:v>
                </c:pt>
                <c:pt idx="60">
                  <c:v>43891.0</c:v>
                </c:pt>
                <c:pt idx="61">
                  <c:v>43892.0</c:v>
                </c:pt>
                <c:pt idx="62">
                  <c:v>43893.0</c:v>
                </c:pt>
                <c:pt idx="63">
                  <c:v>43894.0</c:v>
                </c:pt>
                <c:pt idx="64">
                  <c:v>43895.0</c:v>
                </c:pt>
                <c:pt idx="65">
                  <c:v>43896.0</c:v>
                </c:pt>
                <c:pt idx="66">
                  <c:v>43897.0</c:v>
                </c:pt>
                <c:pt idx="67">
                  <c:v>43898.0</c:v>
                </c:pt>
                <c:pt idx="68">
                  <c:v>43899.0</c:v>
                </c:pt>
                <c:pt idx="69">
                  <c:v>43900.0</c:v>
                </c:pt>
                <c:pt idx="70">
                  <c:v>43901.0</c:v>
                </c:pt>
                <c:pt idx="71">
                  <c:v>43902.0</c:v>
                </c:pt>
              </c:numCache>
            </c:numRef>
          </c:cat>
          <c:val>
            <c:numRef>
              <c:f>'total_cases (version 1).csv'!$D$3:$D$73</c:f>
              <c:numCache>
                <c:formatCode>General</c:formatCode>
                <c:ptCount val="71"/>
                <c:pt idx="9">
                  <c:v>41.0</c:v>
                </c:pt>
                <c:pt idx="10">
                  <c:v>41.0</c:v>
                </c:pt>
                <c:pt idx="11">
                  <c:v>41.0</c:v>
                </c:pt>
                <c:pt idx="12">
                  <c:v>41.0</c:v>
                </c:pt>
                <c:pt idx="13">
                  <c:v>41.0</c:v>
                </c:pt>
                <c:pt idx="14">
                  <c:v>45.0</c:v>
                </c:pt>
                <c:pt idx="15">
                  <c:v>52.82045058497703</c:v>
                </c:pt>
                <c:pt idx="16">
                  <c:v>62.0</c:v>
                </c:pt>
                <c:pt idx="17">
                  <c:v>121.0</c:v>
                </c:pt>
                <c:pt idx="18">
                  <c:v>198.0</c:v>
                </c:pt>
                <c:pt idx="19">
                  <c:v>278.0</c:v>
                </c:pt>
                <c:pt idx="20">
                  <c:v>310.0</c:v>
                </c:pt>
                <c:pt idx="21">
                  <c:v>574.0</c:v>
                </c:pt>
                <c:pt idx="22">
                  <c:v>835.0</c:v>
                </c:pt>
                <c:pt idx="23">
                  <c:v>1297.0</c:v>
                </c:pt>
                <c:pt idx="24">
                  <c:v>1985.0</c:v>
                </c:pt>
                <c:pt idx="25">
                  <c:v>2761.0</c:v>
                </c:pt>
                <c:pt idx="26">
                  <c:v>4537.0</c:v>
                </c:pt>
                <c:pt idx="27">
                  <c:v>5997.0</c:v>
                </c:pt>
                <c:pt idx="28">
                  <c:v>7736.0</c:v>
                </c:pt>
                <c:pt idx="29">
                  <c:v>9720.0</c:v>
                </c:pt>
                <c:pt idx="30">
                  <c:v>11821.0</c:v>
                </c:pt>
                <c:pt idx="31">
                  <c:v>14411.0</c:v>
                </c:pt>
                <c:pt idx="32">
                  <c:v>17238.0</c:v>
                </c:pt>
                <c:pt idx="33">
                  <c:v>20471.0</c:v>
                </c:pt>
                <c:pt idx="34">
                  <c:v>24363.0</c:v>
                </c:pt>
                <c:pt idx="35">
                  <c:v>28060.0</c:v>
                </c:pt>
                <c:pt idx="36">
                  <c:v>31211.0</c:v>
                </c:pt>
                <c:pt idx="37">
                  <c:v>34598.0</c:v>
                </c:pt>
                <c:pt idx="38">
                  <c:v>37251.0</c:v>
                </c:pt>
                <c:pt idx="39">
                  <c:v>40235.0</c:v>
                </c:pt>
                <c:pt idx="40">
                  <c:v>42708.0</c:v>
                </c:pt>
                <c:pt idx="41">
                  <c:v>44730.0</c:v>
                </c:pt>
                <c:pt idx="42">
                  <c:v>46550.0</c:v>
                </c:pt>
                <c:pt idx="43">
                  <c:v>48548.0</c:v>
                </c:pt>
                <c:pt idx="44">
                  <c:v>50054.0</c:v>
                </c:pt>
                <c:pt idx="45">
                  <c:v>51174.0</c:v>
                </c:pt>
                <c:pt idx="46">
                  <c:v>70635.0</c:v>
                </c:pt>
                <c:pt idx="47">
                  <c:v>72528.0</c:v>
                </c:pt>
                <c:pt idx="48">
                  <c:v>74280.0</c:v>
                </c:pt>
                <c:pt idx="49">
                  <c:v>74675.0</c:v>
                </c:pt>
                <c:pt idx="50">
                  <c:v>75569.0</c:v>
                </c:pt>
                <c:pt idx="51">
                  <c:v>76392.0</c:v>
                </c:pt>
                <c:pt idx="52">
                  <c:v>77042.0</c:v>
                </c:pt>
                <c:pt idx="53">
                  <c:v>77262.0</c:v>
                </c:pt>
                <c:pt idx="54">
                  <c:v>77780.0</c:v>
                </c:pt>
                <c:pt idx="55">
                  <c:v>78191.0</c:v>
                </c:pt>
                <c:pt idx="56">
                  <c:v>78630.0</c:v>
                </c:pt>
                <c:pt idx="57">
                  <c:v>78961.0</c:v>
                </c:pt>
                <c:pt idx="58">
                  <c:v>79394.0</c:v>
                </c:pt>
                <c:pt idx="59">
                  <c:v>79968.0</c:v>
                </c:pt>
                <c:pt idx="60">
                  <c:v>80174.0</c:v>
                </c:pt>
                <c:pt idx="61">
                  <c:v>80304.0</c:v>
                </c:pt>
                <c:pt idx="62">
                  <c:v>80422.0</c:v>
                </c:pt>
                <c:pt idx="63">
                  <c:v>80565.0</c:v>
                </c:pt>
                <c:pt idx="64">
                  <c:v>80711.0</c:v>
                </c:pt>
                <c:pt idx="65">
                  <c:v>80813.0</c:v>
                </c:pt>
                <c:pt idx="66">
                  <c:v>80859.0</c:v>
                </c:pt>
                <c:pt idx="67">
                  <c:v>80904.0</c:v>
                </c:pt>
                <c:pt idx="68">
                  <c:v>80924.0</c:v>
                </c:pt>
                <c:pt idx="69">
                  <c:v>80955.0</c:v>
                </c:pt>
                <c:pt idx="70">
                  <c:v>80981.0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14348424"/>
        <c:axId val="2115807304"/>
      </c:lineChart>
      <c:dateAx>
        <c:axId val="2115798584"/>
        <c:scaling>
          <c:orientation val="minMax"/>
          <c:max val="43891.0"/>
        </c:scaling>
        <c:delete val="0"/>
        <c:axPos val="b"/>
        <c:numFmt formatCode="[$-409]mmmm\ d" sourceLinked="1"/>
        <c:majorTickMark val="out"/>
        <c:minorTickMark val="none"/>
        <c:tickLblPos val="nextTo"/>
        <c:crossAx val="2115801656"/>
        <c:crosses val="autoZero"/>
        <c:auto val="1"/>
        <c:lblOffset val="100"/>
        <c:baseTimeUnit val="days"/>
        <c:majorUnit val="1.0"/>
        <c:majorTimeUnit val="days"/>
      </c:dateAx>
      <c:valAx>
        <c:axId val="2115801656"/>
        <c:scaling>
          <c:orientation val="minMax"/>
          <c:max val="50.0"/>
          <c:min val="0.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400" b="0"/>
                </a:pPr>
                <a:r>
                  <a:rPr lang="en-US" sz="1400" b="0"/>
                  <a:t>Ratio symptomatic : diagnosed</a:t>
                </a:r>
              </a:p>
              <a:p>
                <a:pPr>
                  <a:defRPr sz="1400" b="0"/>
                </a:pPr>
                <a:endParaRPr lang="en-US" sz="1400" b="0"/>
              </a:p>
            </c:rich>
          </c:tx>
          <c:layout>
            <c:manualLayout>
              <c:xMode val="edge"/>
              <c:yMode val="edge"/>
              <c:x val="0.0064034151547492"/>
              <c:y val="0.25305868690874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2115798584"/>
        <c:crosses val="autoZero"/>
        <c:crossBetween val="between"/>
      </c:valAx>
      <c:valAx>
        <c:axId val="2115807304"/>
        <c:scaling>
          <c:orientation val="minMax"/>
          <c:max val="100000.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600"/>
                  <a:t>Cumulative Number of Cases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14348424"/>
        <c:crosses val="max"/>
        <c:crossBetween val="between"/>
        <c:dispUnits>
          <c:builtInUnit val="thousands"/>
          <c:dispUnitsLbl>
            <c:layout/>
          </c:dispUnitsLbl>
        </c:dispUnits>
      </c:valAx>
      <c:dateAx>
        <c:axId val="2114348424"/>
        <c:scaling>
          <c:orientation val="minMax"/>
        </c:scaling>
        <c:delete val="1"/>
        <c:axPos val="b"/>
        <c:numFmt formatCode="[$-409]mmmm\ d" sourceLinked="1"/>
        <c:majorTickMark val="out"/>
        <c:minorTickMark val="none"/>
        <c:tickLblPos val="nextTo"/>
        <c:crossAx val="2115807304"/>
        <c:crosses val="autoZero"/>
        <c:auto val="1"/>
        <c:lblOffset val="100"/>
        <c:baseTimeUnit val="days"/>
        <c:majorUnit val="1.0"/>
        <c:minorUnit val="1.0"/>
      </c:dateAx>
    </c:plotArea>
    <c:legend>
      <c:legendPos val="b"/>
      <c:layout/>
      <c:overlay val="0"/>
      <c:txPr>
        <a:bodyPr/>
        <a:lstStyle/>
        <a:p>
          <a:pPr>
            <a:defRPr sz="1200" b="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b="0" i="0">
          <a:latin typeface="Helvetica Neue Light"/>
          <a:cs typeface="Helvetica Neue Light"/>
        </a:defRPr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787400</xdr:colOff>
      <xdr:row>0</xdr:row>
      <xdr:rowOff>139700</xdr:rowOff>
    </xdr:from>
    <xdr:to>
      <xdr:col>24</xdr:col>
      <xdr:colOff>304800</xdr:colOff>
      <xdr:row>37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otal_cases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73"/>
  <sheetViews>
    <sheetView tabSelected="1" showRuler="0" topLeftCell="A14" workbookViewId="0">
      <selection activeCell="H24" sqref="H24"/>
    </sheetView>
  </sheetViews>
  <sheetFormatPr baseColWidth="10" defaultRowHeight="15" x14ac:dyDescent="0"/>
  <cols>
    <col min="1" max="1" width="11" style="1" bestFit="1" customWidth="1"/>
    <col min="2" max="2" width="10.1640625" bestFit="1" customWidth="1"/>
    <col min="3" max="4" width="6.1640625" bestFit="1" customWidth="1"/>
    <col min="5" max="5" width="6.1640625" customWidth="1"/>
    <col min="6" max="6" width="11.1640625" bestFit="1" customWidth="1"/>
    <col min="7" max="7" width="8.1640625" bestFit="1" customWidth="1"/>
  </cols>
  <sheetData>
    <row r="1" spans="1:7">
      <c r="A1" s="1" t="s">
        <v>0</v>
      </c>
      <c r="B1" t="s">
        <v>1</v>
      </c>
      <c r="C1" t="s">
        <v>5</v>
      </c>
      <c r="D1" t="s">
        <v>4</v>
      </c>
      <c r="E1" t="s">
        <v>6</v>
      </c>
      <c r="F1" t="s">
        <v>2</v>
      </c>
      <c r="G1" t="s">
        <v>3</v>
      </c>
    </row>
    <row r="2" spans="1:7">
      <c r="A2" s="1">
        <v>43831</v>
      </c>
      <c r="C2">
        <v>12</v>
      </c>
      <c r="E2">
        <v>1000</v>
      </c>
    </row>
    <row r="3" spans="1:7">
      <c r="A3" s="1">
        <v>43832</v>
      </c>
      <c r="C3">
        <v>41</v>
      </c>
      <c r="E3">
        <v>1000</v>
      </c>
    </row>
    <row r="4" spans="1:7">
      <c r="A4" s="1">
        <v>43833</v>
      </c>
      <c r="C4">
        <v>41</v>
      </c>
      <c r="E4">
        <v>1000</v>
      </c>
    </row>
    <row r="5" spans="1:7">
      <c r="A5" s="1">
        <v>43834</v>
      </c>
      <c r="C5">
        <v>41</v>
      </c>
      <c r="E5">
        <v>1000</v>
      </c>
    </row>
    <row r="6" spans="1:7">
      <c r="A6" s="1">
        <v>43835</v>
      </c>
      <c r="C6">
        <v>41</v>
      </c>
      <c r="E6">
        <v>1000</v>
      </c>
    </row>
    <row r="7" spans="1:7">
      <c r="A7" s="1">
        <v>43836</v>
      </c>
      <c r="C7">
        <v>41</v>
      </c>
      <c r="E7">
        <v>1000</v>
      </c>
    </row>
    <row r="8" spans="1:7">
      <c r="A8" s="1">
        <v>43837</v>
      </c>
      <c r="C8">
        <v>45</v>
      </c>
      <c r="E8">
        <v>1000</v>
      </c>
    </row>
    <row r="9" spans="1:7">
      <c r="A9" s="1">
        <v>43838</v>
      </c>
      <c r="C9">
        <f>C8*SQRT(62/45)</f>
        <v>52.820450584977031</v>
      </c>
      <c r="E9">
        <v>1000</v>
      </c>
    </row>
    <row r="10" spans="1:7">
      <c r="A10" s="1">
        <v>43839</v>
      </c>
      <c r="C10">
        <v>62</v>
      </c>
      <c r="E10">
        <v>1000</v>
      </c>
    </row>
    <row r="11" spans="1:7">
      <c r="A11" s="1">
        <v>43840</v>
      </c>
      <c r="C11">
        <f>62+59</f>
        <v>121</v>
      </c>
      <c r="E11">
        <v>1000</v>
      </c>
    </row>
    <row r="12" spans="1:7">
      <c r="A12" s="1">
        <v>43841</v>
      </c>
      <c r="C12">
        <f>C11+77</f>
        <v>198</v>
      </c>
      <c r="D12">
        <v>41</v>
      </c>
      <c r="E12">
        <f t="shared" ref="E12:E64" si="0">C12/D12</f>
        <v>4.8292682926829267</v>
      </c>
    </row>
    <row r="13" spans="1:7">
      <c r="A13" s="1">
        <v>43842</v>
      </c>
      <c r="C13">
        <v>278</v>
      </c>
      <c r="D13">
        <v>41</v>
      </c>
      <c r="E13">
        <f t="shared" si="0"/>
        <v>6.7804878048780486</v>
      </c>
    </row>
    <row r="14" spans="1:7">
      <c r="A14" s="1">
        <v>43843</v>
      </c>
      <c r="C14">
        <v>310</v>
      </c>
      <c r="D14">
        <v>41</v>
      </c>
      <c r="E14">
        <f t="shared" si="0"/>
        <v>7.5609756097560972</v>
      </c>
    </row>
    <row r="15" spans="1:7">
      <c r="A15" s="1">
        <v>43844</v>
      </c>
      <c r="C15">
        <v>574</v>
      </c>
      <c r="D15">
        <v>41</v>
      </c>
      <c r="E15">
        <f t="shared" si="0"/>
        <v>14</v>
      </c>
    </row>
    <row r="16" spans="1:7">
      <c r="A16" s="1">
        <v>43845</v>
      </c>
      <c r="C16">
        <v>835</v>
      </c>
      <c r="D16">
        <v>41</v>
      </c>
      <c r="E16">
        <f t="shared" si="0"/>
        <v>20.365853658536587</v>
      </c>
    </row>
    <row r="17" spans="1:7">
      <c r="A17" s="1">
        <v>43846</v>
      </c>
      <c r="C17">
        <v>1297</v>
      </c>
      <c r="D17">
        <v>45</v>
      </c>
      <c r="E17">
        <f t="shared" si="0"/>
        <v>28.822222222222223</v>
      </c>
    </row>
    <row r="18" spans="1:7">
      <c r="A18" s="1">
        <v>43847</v>
      </c>
      <c r="C18">
        <v>1985</v>
      </c>
      <c r="D18">
        <f>D17*SQRT(62/45)</f>
        <v>52.820450584977031</v>
      </c>
      <c r="E18">
        <f t="shared" si="0"/>
        <v>37.580141366014118</v>
      </c>
    </row>
    <row r="19" spans="1:7">
      <c r="A19" s="1">
        <v>43848</v>
      </c>
      <c r="C19">
        <v>2761</v>
      </c>
      <c r="D19">
        <v>62</v>
      </c>
      <c r="E19">
        <f t="shared" si="0"/>
        <v>44.532258064516128</v>
      </c>
    </row>
    <row r="20" spans="1:7">
      <c r="A20" s="1">
        <v>43849</v>
      </c>
      <c r="C20">
        <v>4537</v>
      </c>
      <c r="D20">
        <f>62+59</f>
        <v>121</v>
      </c>
      <c r="E20">
        <f t="shared" si="0"/>
        <v>37.495867768595041</v>
      </c>
    </row>
    <row r="21" spans="1:7">
      <c r="A21" s="1">
        <v>43850</v>
      </c>
      <c r="C21">
        <v>5997</v>
      </c>
      <c r="D21">
        <f>D20+77</f>
        <v>198</v>
      </c>
      <c r="E21">
        <f t="shared" si="0"/>
        <v>30.287878787878789</v>
      </c>
    </row>
    <row r="22" spans="1:7">
      <c r="A22" s="1">
        <v>43851</v>
      </c>
      <c r="B22">
        <v>282</v>
      </c>
      <c r="C22">
        <v>7736</v>
      </c>
      <c r="D22">
        <v>278</v>
      </c>
      <c r="E22">
        <f t="shared" si="0"/>
        <v>27.827338129496404</v>
      </c>
      <c r="F22">
        <v>1</v>
      </c>
      <c r="G22">
        <v>2</v>
      </c>
    </row>
    <row r="23" spans="1:7">
      <c r="A23" s="1">
        <v>43852</v>
      </c>
      <c r="B23">
        <v>314</v>
      </c>
      <c r="C23">
        <v>9720</v>
      </c>
      <c r="D23">
        <v>310</v>
      </c>
      <c r="E23">
        <f t="shared" si="0"/>
        <v>31.35483870967742</v>
      </c>
      <c r="F23">
        <v>1</v>
      </c>
      <c r="G23">
        <v>2</v>
      </c>
    </row>
    <row r="24" spans="1:7">
      <c r="A24" s="1">
        <v>43853</v>
      </c>
      <c r="B24">
        <v>581</v>
      </c>
      <c r="C24">
        <v>11821</v>
      </c>
      <c r="D24">
        <v>574</v>
      </c>
      <c r="E24">
        <f t="shared" si="0"/>
        <v>20.594076655052266</v>
      </c>
      <c r="F24">
        <v>1</v>
      </c>
      <c r="G24">
        <v>4</v>
      </c>
    </row>
    <row r="25" spans="1:7">
      <c r="A25" s="1">
        <v>43854</v>
      </c>
      <c r="B25">
        <v>846</v>
      </c>
      <c r="C25">
        <v>14411</v>
      </c>
      <c r="D25">
        <v>835</v>
      </c>
      <c r="E25">
        <f t="shared" si="0"/>
        <v>17.25868263473054</v>
      </c>
      <c r="F25">
        <v>2</v>
      </c>
      <c r="G25">
        <v>4</v>
      </c>
    </row>
    <row r="26" spans="1:7">
      <c r="A26" s="1">
        <v>43855</v>
      </c>
      <c r="B26">
        <v>1320</v>
      </c>
      <c r="C26">
        <v>17238</v>
      </c>
      <c r="D26">
        <v>1297</v>
      </c>
      <c r="E26">
        <f t="shared" si="0"/>
        <v>13.290670778720123</v>
      </c>
      <c r="F26">
        <v>2</v>
      </c>
      <c r="G26">
        <v>4</v>
      </c>
    </row>
    <row r="27" spans="1:7">
      <c r="A27" s="1">
        <v>43856</v>
      </c>
      <c r="B27">
        <v>2014</v>
      </c>
      <c r="C27">
        <v>20471</v>
      </c>
      <c r="D27">
        <v>1985</v>
      </c>
      <c r="E27">
        <f t="shared" si="0"/>
        <v>10.312846347607053</v>
      </c>
      <c r="F27">
        <v>2</v>
      </c>
      <c r="G27">
        <v>5</v>
      </c>
    </row>
    <row r="28" spans="1:7">
      <c r="A28" s="1">
        <v>43857</v>
      </c>
      <c r="B28">
        <v>2798</v>
      </c>
      <c r="C28">
        <v>24363</v>
      </c>
      <c r="D28">
        <v>2761</v>
      </c>
      <c r="E28">
        <f t="shared" si="0"/>
        <v>8.8239768199927564</v>
      </c>
      <c r="F28">
        <v>4</v>
      </c>
      <c r="G28">
        <v>5</v>
      </c>
    </row>
    <row r="29" spans="1:7">
      <c r="A29" s="1">
        <v>43858</v>
      </c>
      <c r="B29">
        <v>4593</v>
      </c>
      <c r="C29">
        <v>28060</v>
      </c>
      <c r="D29">
        <v>4537</v>
      </c>
      <c r="E29">
        <f t="shared" si="0"/>
        <v>6.1847035486003969</v>
      </c>
      <c r="F29">
        <v>4</v>
      </c>
      <c r="G29">
        <v>14</v>
      </c>
    </row>
    <row r="30" spans="1:7">
      <c r="A30" s="1">
        <v>43859</v>
      </c>
      <c r="B30">
        <v>6065</v>
      </c>
      <c r="C30">
        <v>31211</v>
      </c>
      <c r="D30">
        <v>5997</v>
      </c>
      <c r="E30">
        <f t="shared" si="0"/>
        <v>5.2044355511088876</v>
      </c>
      <c r="F30">
        <v>4</v>
      </c>
      <c r="G30">
        <v>14</v>
      </c>
    </row>
    <row r="31" spans="1:7">
      <c r="A31" s="1">
        <v>43860</v>
      </c>
      <c r="B31">
        <v>7818</v>
      </c>
      <c r="C31">
        <v>34598</v>
      </c>
      <c r="D31">
        <v>7736</v>
      </c>
      <c r="E31">
        <f t="shared" si="0"/>
        <v>4.4723371251292656</v>
      </c>
      <c r="F31">
        <v>4</v>
      </c>
      <c r="G31">
        <v>14</v>
      </c>
    </row>
    <row r="32" spans="1:7">
      <c r="A32" s="1">
        <v>43861</v>
      </c>
      <c r="B32">
        <v>9826</v>
      </c>
      <c r="C32">
        <v>37251</v>
      </c>
      <c r="D32">
        <v>9720</v>
      </c>
      <c r="E32">
        <f t="shared" si="0"/>
        <v>3.8324074074074073</v>
      </c>
      <c r="F32">
        <v>11</v>
      </c>
      <c r="G32">
        <v>14</v>
      </c>
    </row>
    <row r="33" spans="1:7">
      <c r="A33" s="1">
        <v>43862</v>
      </c>
      <c r="B33">
        <v>11953</v>
      </c>
      <c r="C33">
        <v>40235</v>
      </c>
      <c r="D33">
        <v>11821</v>
      </c>
      <c r="E33">
        <f t="shared" si="0"/>
        <v>3.4036883512393197</v>
      </c>
      <c r="F33">
        <v>12</v>
      </c>
      <c r="G33">
        <v>19</v>
      </c>
    </row>
    <row r="34" spans="1:7">
      <c r="A34" s="1">
        <v>43863</v>
      </c>
      <c r="B34">
        <v>14557</v>
      </c>
      <c r="C34">
        <v>42708</v>
      </c>
      <c r="D34">
        <v>14411</v>
      </c>
      <c r="E34">
        <f t="shared" si="0"/>
        <v>2.9635694955242524</v>
      </c>
      <c r="F34">
        <v>15</v>
      </c>
      <c r="G34">
        <v>19</v>
      </c>
    </row>
    <row r="35" spans="1:7">
      <c r="A35" s="1">
        <v>43864</v>
      </c>
      <c r="B35">
        <v>17391</v>
      </c>
      <c r="C35">
        <v>44730</v>
      </c>
      <c r="D35">
        <v>17238</v>
      </c>
      <c r="E35">
        <f t="shared" si="0"/>
        <v>2.5948485903237035</v>
      </c>
      <c r="F35">
        <v>15</v>
      </c>
      <c r="G35">
        <v>19</v>
      </c>
    </row>
    <row r="36" spans="1:7">
      <c r="A36" s="1">
        <v>43865</v>
      </c>
      <c r="B36">
        <v>20630</v>
      </c>
      <c r="C36">
        <v>46550</v>
      </c>
      <c r="D36">
        <v>20471</v>
      </c>
      <c r="E36">
        <f t="shared" si="0"/>
        <v>2.2739485125299206</v>
      </c>
      <c r="F36">
        <v>16</v>
      </c>
      <c r="G36">
        <v>19</v>
      </c>
    </row>
    <row r="37" spans="1:7">
      <c r="A37" s="1">
        <v>43866</v>
      </c>
      <c r="B37">
        <v>24544</v>
      </c>
      <c r="C37">
        <v>48548</v>
      </c>
      <c r="D37">
        <v>24363</v>
      </c>
      <c r="E37">
        <f t="shared" si="0"/>
        <v>1.9926938390181834</v>
      </c>
      <c r="F37">
        <v>18</v>
      </c>
      <c r="G37">
        <v>25</v>
      </c>
    </row>
    <row r="38" spans="1:7">
      <c r="A38" s="1">
        <v>43867</v>
      </c>
      <c r="B38">
        <v>28276</v>
      </c>
      <c r="C38">
        <v>50054</v>
      </c>
      <c r="D38">
        <v>28060</v>
      </c>
      <c r="E38">
        <f t="shared" si="0"/>
        <v>1.7838203848895224</v>
      </c>
      <c r="F38">
        <v>23</v>
      </c>
      <c r="G38">
        <v>25</v>
      </c>
    </row>
    <row r="39" spans="1:7">
      <c r="A39" s="1">
        <v>43868</v>
      </c>
      <c r="B39">
        <v>31481</v>
      </c>
      <c r="C39">
        <v>51174</v>
      </c>
      <c r="D39">
        <v>31211</v>
      </c>
      <c r="E39">
        <f t="shared" si="0"/>
        <v>1.639614238569735</v>
      </c>
      <c r="F39">
        <v>24</v>
      </c>
      <c r="G39">
        <v>25</v>
      </c>
    </row>
    <row r="40" spans="1:7">
      <c r="A40" s="1">
        <v>43869</v>
      </c>
      <c r="B40">
        <v>34886</v>
      </c>
      <c r="C40">
        <v>70635</v>
      </c>
      <c r="D40">
        <v>34598</v>
      </c>
      <c r="E40">
        <f t="shared" si="0"/>
        <v>2.0415919995375456</v>
      </c>
      <c r="F40">
        <v>24</v>
      </c>
      <c r="G40">
        <v>32</v>
      </c>
    </row>
    <row r="41" spans="1:7">
      <c r="A41" s="1">
        <v>43870</v>
      </c>
      <c r="B41">
        <v>37558</v>
      </c>
      <c r="C41">
        <v>72528</v>
      </c>
      <c r="D41">
        <v>37251</v>
      </c>
      <c r="E41">
        <f t="shared" si="0"/>
        <v>1.9470081340098253</v>
      </c>
      <c r="F41">
        <v>27</v>
      </c>
      <c r="G41">
        <v>32</v>
      </c>
    </row>
    <row r="42" spans="1:7">
      <c r="A42" s="1">
        <v>43871</v>
      </c>
      <c r="B42">
        <v>40554</v>
      </c>
      <c r="C42">
        <v>74280</v>
      </c>
      <c r="D42">
        <v>40235</v>
      </c>
      <c r="E42">
        <f t="shared" si="0"/>
        <v>1.8461538461538463</v>
      </c>
      <c r="F42">
        <v>27</v>
      </c>
      <c r="G42">
        <v>32</v>
      </c>
    </row>
    <row r="43" spans="1:7">
      <c r="A43" s="1">
        <v>43872</v>
      </c>
      <c r="B43">
        <v>43103</v>
      </c>
      <c r="C43">
        <v>74675</v>
      </c>
      <c r="D43">
        <v>42708</v>
      </c>
      <c r="E43">
        <f t="shared" si="0"/>
        <v>1.7485014517186475</v>
      </c>
      <c r="F43">
        <v>28</v>
      </c>
      <c r="G43">
        <v>33</v>
      </c>
    </row>
    <row r="44" spans="1:7">
      <c r="A44" s="1">
        <v>43873</v>
      </c>
      <c r="B44">
        <v>45171</v>
      </c>
      <c r="C44">
        <v>75569</v>
      </c>
      <c r="D44">
        <v>44730</v>
      </c>
      <c r="E44">
        <f t="shared" si="0"/>
        <v>1.6894477978985021</v>
      </c>
      <c r="F44">
        <v>28</v>
      </c>
      <c r="G44">
        <v>33</v>
      </c>
    </row>
    <row r="45" spans="1:7">
      <c r="A45" s="1">
        <v>43874</v>
      </c>
      <c r="B45">
        <v>46997</v>
      </c>
      <c r="C45">
        <v>76392</v>
      </c>
      <c r="D45">
        <v>46550</v>
      </c>
      <c r="E45">
        <f t="shared" si="0"/>
        <v>1.6410741138560687</v>
      </c>
      <c r="F45">
        <v>28</v>
      </c>
      <c r="G45">
        <v>33</v>
      </c>
    </row>
    <row r="46" spans="1:7">
      <c r="A46" s="1">
        <v>43875</v>
      </c>
      <c r="B46">
        <v>49053</v>
      </c>
      <c r="C46">
        <v>77042</v>
      </c>
      <c r="D46">
        <v>48548</v>
      </c>
      <c r="E46">
        <f t="shared" si="0"/>
        <v>1.5869242811238362</v>
      </c>
      <c r="F46">
        <v>28</v>
      </c>
      <c r="G46">
        <v>33</v>
      </c>
    </row>
    <row r="47" spans="1:7">
      <c r="A47" s="1">
        <v>43876</v>
      </c>
      <c r="B47">
        <v>50580</v>
      </c>
      <c r="C47">
        <v>77262</v>
      </c>
      <c r="D47">
        <v>50054</v>
      </c>
      <c r="E47">
        <f t="shared" si="0"/>
        <v>1.5435729412234787</v>
      </c>
      <c r="F47">
        <v>28</v>
      </c>
      <c r="G47">
        <v>34</v>
      </c>
    </row>
    <row r="48" spans="1:7">
      <c r="A48" s="1">
        <v>43877</v>
      </c>
      <c r="B48">
        <v>51857</v>
      </c>
      <c r="C48">
        <v>77780</v>
      </c>
      <c r="D48">
        <v>51174</v>
      </c>
      <c r="E48">
        <f t="shared" si="0"/>
        <v>1.5199124555438308</v>
      </c>
      <c r="F48">
        <v>29</v>
      </c>
      <c r="G48">
        <v>34</v>
      </c>
    </row>
    <row r="49" spans="1:7">
      <c r="A49" s="1">
        <v>43878</v>
      </c>
      <c r="B49">
        <v>71429</v>
      </c>
      <c r="C49">
        <v>78191</v>
      </c>
      <c r="D49">
        <v>70635</v>
      </c>
      <c r="E49">
        <f t="shared" si="0"/>
        <v>1.1069724640758831</v>
      </c>
      <c r="F49">
        <v>30</v>
      </c>
      <c r="G49">
        <v>35</v>
      </c>
    </row>
    <row r="50" spans="1:7">
      <c r="A50" s="1">
        <v>43879</v>
      </c>
      <c r="B50">
        <v>73332</v>
      </c>
      <c r="C50">
        <v>78630</v>
      </c>
      <c r="D50">
        <v>72528</v>
      </c>
      <c r="E50">
        <f t="shared" si="0"/>
        <v>1.0841330244870946</v>
      </c>
      <c r="F50">
        <v>31</v>
      </c>
      <c r="G50">
        <v>35</v>
      </c>
    </row>
    <row r="51" spans="1:7">
      <c r="A51" s="1">
        <v>43880</v>
      </c>
      <c r="B51">
        <v>75204</v>
      </c>
      <c r="C51">
        <v>78961</v>
      </c>
      <c r="D51">
        <v>74280</v>
      </c>
      <c r="E51">
        <f t="shared" si="0"/>
        <v>1.0630183091006999</v>
      </c>
      <c r="F51">
        <v>51</v>
      </c>
      <c r="G51">
        <v>35</v>
      </c>
    </row>
    <row r="52" spans="1:7">
      <c r="A52" s="1">
        <v>43881</v>
      </c>
      <c r="B52">
        <v>75748</v>
      </c>
      <c r="C52">
        <v>79394</v>
      </c>
      <c r="D52">
        <v>74675</v>
      </c>
      <c r="E52">
        <f t="shared" si="0"/>
        <v>1.0631938399732173</v>
      </c>
      <c r="F52">
        <v>104</v>
      </c>
      <c r="G52">
        <v>35</v>
      </c>
    </row>
    <row r="53" spans="1:7">
      <c r="A53" s="1">
        <v>43882</v>
      </c>
      <c r="B53">
        <v>76769</v>
      </c>
      <c r="C53">
        <v>79968</v>
      </c>
      <c r="D53">
        <v>75569</v>
      </c>
      <c r="E53">
        <f t="shared" si="0"/>
        <v>1.0582117005650464</v>
      </c>
      <c r="F53">
        <v>204</v>
      </c>
      <c r="G53">
        <v>35</v>
      </c>
    </row>
    <row r="54" spans="1:7">
      <c r="A54" s="1">
        <v>43883</v>
      </c>
      <c r="B54">
        <v>77794</v>
      </c>
      <c r="C54">
        <v>80174</v>
      </c>
      <c r="D54">
        <v>76392</v>
      </c>
      <c r="E54">
        <f t="shared" si="0"/>
        <v>1.0495078018640696</v>
      </c>
      <c r="F54">
        <v>346</v>
      </c>
      <c r="G54">
        <v>35</v>
      </c>
    </row>
    <row r="55" spans="1:7">
      <c r="A55" s="1">
        <v>43884</v>
      </c>
      <c r="B55">
        <v>78811</v>
      </c>
      <c r="C55">
        <v>80304</v>
      </c>
      <c r="D55">
        <v>77042</v>
      </c>
      <c r="E55">
        <f t="shared" si="0"/>
        <v>1.0423405415228058</v>
      </c>
      <c r="F55">
        <v>602</v>
      </c>
      <c r="G55">
        <v>35</v>
      </c>
    </row>
    <row r="56" spans="1:7">
      <c r="A56" s="1">
        <v>43885</v>
      </c>
      <c r="B56">
        <v>79331</v>
      </c>
      <c r="C56">
        <v>80422</v>
      </c>
      <c r="D56">
        <v>77262</v>
      </c>
      <c r="E56">
        <f t="shared" si="0"/>
        <v>1.0408997955010224</v>
      </c>
      <c r="F56">
        <v>763</v>
      </c>
      <c r="G56">
        <v>35</v>
      </c>
    </row>
    <row r="57" spans="1:7">
      <c r="A57" s="1">
        <v>43886</v>
      </c>
      <c r="B57">
        <v>80239</v>
      </c>
      <c r="C57">
        <v>80565</v>
      </c>
      <c r="D57">
        <v>77780</v>
      </c>
      <c r="E57">
        <f t="shared" si="0"/>
        <v>1.0358061198251478</v>
      </c>
      <c r="F57">
        <v>977</v>
      </c>
      <c r="G57">
        <v>37</v>
      </c>
    </row>
    <row r="58" spans="1:7">
      <c r="A58" s="1">
        <v>43887</v>
      </c>
      <c r="B58">
        <v>81109</v>
      </c>
      <c r="C58">
        <v>80711</v>
      </c>
      <c r="D58">
        <v>78191</v>
      </c>
      <c r="E58">
        <f t="shared" si="0"/>
        <v>1.0322287731324578</v>
      </c>
      <c r="F58">
        <v>1261</v>
      </c>
      <c r="G58">
        <v>40</v>
      </c>
    </row>
    <row r="59" spans="1:7">
      <c r="A59" s="1">
        <v>43888</v>
      </c>
      <c r="B59">
        <v>82294</v>
      </c>
      <c r="C59">
        <v>80813</v>
      </c>
      <c r="D59">
        <v>78630</v>
      </c>
      <c r="E59">
        <f t="shared" si="0"/>
        <v>1.0277629403535546</v>
      </c>
      <c r="F59">
        <v>1766</v>
      </c>
      <c r="G59">
        <v>40</v>
      </c>
    </row>
    <row r="60" spans="1:7">
      <c r="A60" s="1">
        <v>43889</v>
      </c>
      <c r="B60">
        <v>83652</v>
      </c>
      <c r="C60">
        <v>80859</v>
      </c>
      <c r="D60">
        <v>78961</v>
      </c>
      <c r="E60">
        <f t="shared" si="0"/>
        <v>1.0240371829130837</v>
      </c>
      <c r="F60">
        <v>2337</v>
      </c>
      <c r="G60">
        <v>40</v>
      </c>
    </row>
    <row r="61" spans="1:7">
      <c r="A61" s="1">
        <v>43890</v>
      </c>
      <c r="B61">
        <v>85403</v>
      </c>
      <c r="C61">
        <v>80904</v>
      </c>
      <c r="D61">
        <v>79394</v>
      </c>
      <c r="E61">
        <f t="shared" si="0"/>
        <v>1.0190190694510921</v>
      </c>
      <c r="F61">
        <v>3150</v>
      </c>
      <c r="G61">
        <v>42</v>
      </c>
    </row>
    <row r="62" spans="1:7">
      <c r="A62" s="1">
        <v>43891</v>
      </c>
      <c r="B62">
        <v>87137</v>
      </c>
      <c r="C62">
        <v>80924</v>
      </c>
      <c r="D62">
        <v>79968</v>
      </c>
      <c r="E62">
        <f t="shared" si="0"/>
        <v>1.011954781912765</v>
      </c>
      <c r="F62">
        <v>3736</v>
      </c>
      <c r="G62">
        <v>42</v>
      </c>
    </row>
    <row r="63" spans="1:7">
      <c r="A63" s="1">
        <v>43892</v>
      </c>
      <c r="B63">
        <v>88948</v>
      </c>
      <c r="C63">
        <v>80955</v>
      </c>
      <c r="D63">
        <v>80174</v>
      </c>
      <c r="E63">
        <f t="shared" si="0"/>
        <v>1.0097413126449972</v>
      </c>
      <c r="F63">
        <v>4212</v>
      </c>
      <c r="G63">
        <v>42</v>
      </c>
    </row>
    <row r="64" spans="1:7">
      <c r="A64" s="1">
        <v>43893</v>
      </c>
      <c r="B64">
        <v>90869</v>
      </c>
      <c r="C64">
        <v>80981</v>
      </c>
      <c r="D64">
        <v>80304</v>
      </c>
      <c r="E64">
        <f t="shared" si="0"/>
        <v>1.0084304642359037</v>
      </c>
      <c r="F64">
        <v>4812</v>
      </c>
      <c r="G64">
        <v>43</v>
      </c>
    </row>
    <row r="65" spans="1:7">
      <c r="A65" s="1">
        <v>43894</v>
      </c>
      <c r="B65">
        <v>93090</v>
      </c>
      <c r="D65">
        <v>80422</v>
      </c>
      <c r="F65">
        <v>5328</v>
      </c>
      <c r="G65">
        <v>43</v>
      </c>
    </row>
    <row r="66" spans="1:7">
      <c r="A66" s="1">
        <v>43895</v>
      </c>
      <c r="B66">
        <v>95324</v>
      </c>
      <c r="D66">
        <v>80565</v>
      </c>
      <c r="F66">
        <v>5766</v>
      </c>
      <c r="G66">
        <v>47</v>
      </c>
    </row>
    <row r="67" spans="1:7">
      <c r="A67" s="1">
        <v>43896</v>
      </c>
      <c r="B67">
        <v>98192</v>
      </c>
      <c r="D67">
        <v>80711</v>
      </c>
      <c r="F67">
        <v>6284</v>
      </c>
      <c r="G67">
        <v>47</v>
      </c>
    </row>
    <row r="68" spans="1:7">
      <c r="A68" s="1">
        <v>43897</v>
      </c>
      <c r="B68">
        <v>101927</v>
      </c>
      <c r="D68">
        <v>80813</v>
      </c>
      <c r="F68">
        <v>6767</v>
      </c>
      <c r="G68">
        <v>48</v>
      </c>
    </row>
    <row r="69" spans="1:7">
      <c r="A69" s="1">
        <v>43898</v>
      </c>
      <c r="B69">
        <v>105592</v>
      </c>
      <c r="D69">
        <v>80859</v>
      </c>
      <c r="F69">
        <v>7134</v>
      </c>
      <c r="G69">
        <v>50</v>
      </c>
    </row>
    <row r="70" spans="1:7">
      <c r="A70" s="1">
        <v>43899</v>
      </c>
      <c r="B70">
        <v>109577</v>
      </c>
      <c r="D70">
        <v>80904</v>
      </c>
      <c r="F70">
        <v>7382</v>
      </c>
      <c r="G70">
        <v>50</v>
      </c>
    </row>
    <row r="71" spans="1:7">
      <c r="A71" s="1">
        <v>43900</v>
      </c>
      <c r="B71">
        <v>113702</v>
      </c>
      <c r="D71">
        <v>80924</v>
      </c>
      <c r="F71">
        <v>7513</v>
      </c>
      <c r="G71">
        <v>53</v>
      </c>
    </row>
    <row r="72" spans="1:7">
      <c r="A72" s="1">
        <v>43901</v>
      </c>
      <c r="B72">
        <v>118319</v>
      </c>
      <c r="D72">
        <v>80955</v>
      </c>
      <c r="F72">
        <v>7755</v>
      </c>
      <c r="G72">
        <v>59</v>
      </c>
    </row>
    <row r="73" spans="1:7">
      <c r="A73" s="1">
        <v>43902</v>
      </c>
      <c r="B73">
        <v>125048</v>
      </c>
      <c r="D73">
        <v>80981</v>
      </c>
      <c r="F73">
        <v>7869</v>
      </c>
      <c r="G73">
        <v>70</v>
      </c>
    </row>
  </sheetData>
  <pageMargins left="0.75" right="0.75" top="1" bottom="1" header="0.5" footer="0.5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total_cases (version 1).csv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Caspar Verhey</dc:creator>
  <cp:lastModifiedBy>Caspar Verhey</cp:lastModifiedBy>
  <dcterms:created xsi:type="dcterms:W3CDTF">2020-03-17T21:52:49Z</dcterms:created>
  <dcterms:modified xsi:type="dcterms:W3CDTF">2020-03-17T21:53:13Z</dcterms:modified>
</cp:coreProperties>
</file>